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C:\Users\px50vpm\Documents\GitHub\P_Bibliothèque\P_Appro1_Bibliotheque\"/>
    </mc:Choice>
  </mc:AlternateContent>
  <xr:revisionPtr revIDLastSave="0" documentId="13_ncr:1_{06221EDA-74CD-412D-8198-5F7AB2EED94F}" xr6:coauthVersionLast="47" xr6:coauthVersionMax="47" xr10:uidLastSave="{00000000-0000-0000-0000-000000000000}"/>
  <bookViews>
    <workbookView xWindow="-120" yWindow="-120" windowWidth="29040" windowHeight="15840" activeTab="2"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<sst xmlns="http://schemas.openxmlformats.org/spreadsheetml/2006/main" count="156" uniqueCount="86">
  <si>
    <t>Auteur:</t>
  </si>
  <si>
    <t>Projet:</t>
  </si>
  <si>
    <t>Analyse</t>
  </si>
  <si>
    <t>Test</t>
  </si>
  <si>
    <t>Documentation</t>
  </si>
  <si>
    <t>Temps total:</t>
  </si>
  <si>
    <t>Date:</t>
  </si>
  <si>
    <t>Semaine</t>
  </si>
  <si>
    <t>Jour</t>
  </si>
  <si>
    <t>Type</t>
  </si>
  <si>
    <t>Description</t>
  </si>
  <si>
    <t>Remarques/problèmes</t>
  </si>
  <si>
    <t>Type d'activité</t>
  </si>
  <si>
    <t>Total heures</t>
  </si>
  <si>
    <t>Temps</t>
  </si>
  <si>
    <t>min.</t>
  </si>
  <si>
    <t>Heures</t>
  </si>
  <si>
    <t>Minutes</t>
  </si>
  <si>
    <t>Total</t>
  </si>
  <si>
    <t>Implémentation</t>
  </si>
  <si>
    <t xml:space="preserve">h.      </t>
  </si>
  <si>
    <t>Plannification Initiale</t>
  </si>
  <si>
    <t>en %</t>
  </si>
  <si>
    <t>heures</t>
  </si>
  <si>
    <t>Total heures TPI</t>
  </si>
  <si>
    <t>Plannification Effective</t>
  </si>
  <si>
    <t xml:space="preserve">Total </t>
  </si>
  <si>
    <t>Journal de travail</t>
  </si>
  <si>
    <t>Absent</t>
  </si>
  <si>
    <t>P_Appro1 - P_Bibliothèque</t>
  </si>
  <si>
    <t>Mares Julien</t>
  </si>
  <si>
    <t>4 février 2026 au 13 mars 2026</t>
  </si>
  <si>
    <t>Création CDC (P_Fisherman)  + discussion avec M. Meylan (première discussion concernant le P_Appro)</t>
  </si>
  <si>
    <t>Début d'analyse sur comment / avec quoi faire le projet fisherman</t>
  </si>
  <si>
    <t>Discussion avec M. Meylan concernant le projet à faire</t>
  </si>
  <si>
    <t>Choix  de thème proposé par M. Meylan (P_Biblioèthque)</t>
  </si>
  <si>
    <t>Création CDC avec le contenu du CDC donnée par M. Meylan avec la forme du nouveau CDC</t>
  </si>
  <si>
    <t>Début de mise en place</t>
  </si>
  <si>
    <t>Analyse initiale</t>
  </si>
  <si>
    <t>Documentation sur Google Books API</t>
  </si>
  <si>
    <t xml:space="preserve">Planification &amp; analyse initiale </t>
  </si>
  <si>
    <t>Discussion avec des profs pour le TPI (pas pour ce projet)</t>
  </si>
  <si>
    <t>Discussion concernant les technos avec M. Meylan</t>
  </si>
  <si>
    <t>Création MLD (à finaliser)</t>
  </si>
  <si>
    <t>Tâche diverse (création github, remplir jnvtrl, création word rapport etc.)</t>
  </si>
  <si>
    <t>MLD MCD Fini</t>
  </si>
  <si>
    <t>Discussion avec un prof pr TPI</t>
  </si>
  <si>
    <t xml:space="preserve">Discussion M. Duding </t>
  </si>
  <si>
    <t>Conception d'une image pour le design de mon site avec chatGPT</t>
  </si>
  <si>
    <t>Diagramme de gant pour planification (et qqchangement dans la planif initiale)</t>
  </si>
  <si>
    <t>Création Maquette pour le site</t>
  </si>
  <si>
    <t>Création docker compose et script sql</t>
  </si>
  <si>
    <t>Création docker compose (mysql &amp; phpmyadmin) et db dedans</t>
  </si>
  <si>
    <t>Mise en place et début de réapprentissage de vue js</t>
  </si>
  <si>
    <t>J'ai eu des problèmes pour mettre en place mon projet vue en utilisant tailwind (car j'utilisais une version ancienne qui avait des changements dans l'utilisation)</t>
  </si>
  <si>
    <t>Début page de connexion (surtout pour me remettre dans le html/css pour l'instant et tailwind</t>
  </si>
  <si>
    <t>Page de connexion (html/css seulement) fini, commencement d'analyse des routes dont j'ai besoin, à continuer cette après-midi.</t>
  </si>
  <si>
    <t>Documentation sur backend (avec express), et google API books</t>
  </si>
  <si>
    <t>Analyse conceptuelle des routes Api à faire</t>
  </si>
  <si>
    <t>Fix ma db et docker qui avait des prbl</t>
  </si>
  <si>
    <t xml:space="preserve">Mise en place API Rest </t>
  </si>
  <si>
    <t>Analyse route API a faire et relecture du cdc</t>
  </si>
  <si>
    <t>Création des routes simple (get livre) et create livre pas encore fini (il faut s'occuper du create mais aussi d'aller chercher un livre via l'API de google books)</t>
  </si>
  <si>
    <t>Discussion avec Sofiène</t>
  </si>
  <si>
    <t>Route Books et Users de l'API (utilisation de l'API google pour ajouter des livres)</t>
  </si>
  <si>
    <t>J'ai essayé de tester les routes login et register de plusieurs manières mais pour l'instant ce n'est pas vraiment au point</t>
  </si>
  <si>
    <t>Regroupement d'informations dans le rapport (sous forme brutes pour l'instant sans aucune mise en page ou autre)</t>
  </si>
  <si>
    <t>Page de connexion avec Vue js (se connecter à un user présent dans la db)</t>
  </si>
  <si>
    <t>Discussion avec M. Meylan concernant le projet, il m'a montré comment je pourrais faire pour mieux structurer mon code en découpant et en faisant des "store" le frontend, et aussi en quoi utiliser localstorage peut s'avérer pratique, donc je pense qu'à partir de demain je vais commencer ça</t>
  </si>
  <si>
    <t>Retourner liste de livre (simplement dans la console pour l'instant) mais sachant que la route qui recupere la liste des livres a besoin d'un authentification ce n'est pas si simple, donc actuellement c'est bon j'ai réussis (très très moche et inutilisable mais au moins je sais comment faire)</t>
  </si>
  <si>
    <t>Implémentation store avec pinia + page de connexion fonctionnel, qui redirige vers homepage une fois qu'on est connecté</t>
  </si>
  <si>
    <t>J'ai réfléchi à comment je voudrais que mes pages soient gérer, car je n'ai pas réussi à faire comme je le voulais instinctivement (router.push directement dans un componenent, peut-etre uqe j'ai mal fais mais quand j'essayais ma page web crashait complétement)</t>
  </si>
  <si>
    <t>Mise en place d'un router pour gérer les différentes pages, parcontre pour l'instant j'ai encore qqproblemes de compréhension mais j'ai limpression qu'une fois que j'aurais compris ce qui me manque ca sera un moyen très simple et efficace pour gérer mes pages.</t>
  </si>
  <si>
    <t>je suis parti 30mn plutôt pour rattraper un test</t>
  </si>
  <si>
    <t>Toujours les routes et début front-end, je suis entrain de faire en sorte que le store recoivent toutes les données dont jai besoin pour le frontend (pour l'instant je prend tout au chargement de la page meme si c'est pas la meilleure idée en prod c'est juste pour avoir une base simple pour l'instant)</t>
  </si>
  <si>
    <t>Page de catalogue en cours, j'affiche tout les livres et demain je ferai les filtres et la page de détails des livres.</t>
  </si>
  <si>
    <t>Début rédaction rapport au propre</t>
  </si>
  <si>
    <t>Rédiger texte fonctionnelles</t>
  </si>
  <si>
    <t>Les filtres sont fais + page détails + page de profile</t>
  </si>
  <si>
    <t>Système de pagination + afficher emprunts livre dans page profile  + register + séparation page catalogue en component partial (Je l'avais fais mais pas assez donc il faut que je découpe encore, pour pouvoir réutilisr ces composant dans l'interface admin par exemple) + demain ducoup continuer découpage en component + petit + interface admin + rapport de projet + doc mise en place</t>
  </si>
  <si>
    <t>Rédaction Rapport (Création schéma technique etc), demain finir rapport, faire release TOUT CLEAN + pas oublier tester les test et commenter selon résultat, pq ca marche pas etcetc</t>
  </si>
  <si>
    <t>Tester les divers tests fonctionnels, documenter les résultats dans le rapport et expliquer les résultats</t>
  </si>
  <si>
    <t>Description implémentation</t>
  </si>
  <si>
    <t>Rédaction rapport (conclusion, comparaison planif + travail effectué + faire livrable + glossaire + résumé)</t>
  </si>
  <si>
    <t>Démonstration site M. Meylan</t>
  </si>
  <si>
    <t>Malade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</si>
</sst>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96">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7" fontId="0" fillId="0" borderId="0" xfId="0" applyNumberFormat="1" applyFont="1" applyProtection="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7" fontId="0" fillId="3" borderId="0" xfId="0" applyNumberFormat="1" applyFont="1" applyFill="1" applyProtection="1">
      <protection locked="0"/>
    </xf>
    <xf numFmtId="166" fontId="0" fillId="3" borderId="0" xfId="0" applyNumberFormat="1" applyFont="1" applyFill="1" applyProtection="1">
      <protection locked="0"/>
    </xf>
    <xf numFmtId="168" fontId="0" fillId="3" borderId="0" xfId="0" applyNumberFormat="1" applyFont="1" applyFill="1" applyAlignment="1" applyProtection="1">
      <alignment horizontal="left"/>
      <protection locked="0"/>
    </xf>
    <xf numFmtId="0" fontId="0" fillId="3" borderId="0" xfId="0" applyFont="1" applyFill="1" applyProtection="1">
      <protection locked="0"/>
    </xf>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1105</c:v>
                </c:pt>
                <c:pt idx="1">
                  <c:v>4085</c:v>
                </c:pt>
                <c:pt idx="2">
                  <c:v>90</c:v>
                </c:pt>
                <c:pt idx="3">
                  <c:v>1100</c:v>
                </c:pt>
                <c:pt idx="4">
                  <c:v>920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0.15136986301369862</c:v>
                </c:pt>
                <c:pt idx="1">
                  <c:v>0.55958904109589036</c:v>
                </c:pt>
                <c:pt idx="2">
                  <c:v>1.2328767123287671E-2</c:v>
                </c:pt>
                <c:pt idx="3">
                  <c:v>0.15068493150684931</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zoomScale="120" zoomScaleNormal="120" workbookViewId="0">
      <pane ySplit="6" topLeftCell="A61" activePane="bottomLeft" state="frozen"/>
      <selection pane="bottomLeft" activeCell="F65" sqref="F65"/>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27</v>
      </c>
      <c r="G1" s="11"/>
    </row>
    <row r="2" spans="1:15" ht="23.25" x14ac:dyDescent="0.35">
      <c r="A2" s="95" t="s">
        <v>0</v>
      </c>
      <c r="B2" s="95"/>
      <c r="C2" s="93" t="s">
        <v>30</v>
      </c>
      <c r="D2" s="93"/>
      <c r="E2" s="93"/>
      <c r="F2" s="5" t="s">
        <v>1</v>
      </c>
      <c r="G2" s="64" t="s">
        <v>29</v>
      </c>
    </row>
    <row r="3" spans="1:15" ht="23.25" x14ac:dyDescent="0.35">
      <c r="A3" s="95" t="s">
        <v>5</v>
      </c>
      <c r="B3" s="95"/>
      <c r="C3" s="67" t="str">
        <f>QUOTIENT(E4,60)&amp;" heures "&amp;MOD(E4,60)&amp;" minutes"</f>
        <v>121 heures 40 minutes</v>
      </c>
      <c r="D3" s="17"/>
      <c r="E3" s="3"/>
      <c r="F3" s="4" t="s">
        <v>6</v>
      </c>
      <c r="G3" s="65" t="s">
        <v>31</v>
      </c>
    </row>
    <row r="4" spans="1:15" ht="23.25" hidden="1" x14ac:dyDescent="0.35">
      <c r="B4" s="5"/>
      <c r="C4" s="17">
        <f>SUBTOTAL(9,$C$7:$C$531)*60</f>
        <v>5700</v>
      </c>
      <c r="D4" s="17">
        <f>SUBTOTAL(9,$D$7:$D$531)</f>
        <v>1600</v>
      </c>
      <c r="E4" s="24">
        <f>SUM(C4:D4)</f>
        <v>7300</v>
      </c>
      <c r="F4" s="4"/>
      <c r="G4" s="6"/>
    </row>
    <row r="5" spans="1:15" x14ac:dyDescent="0.25">
      <c r="C5" s="94" t="s">
        <v>14</v>
      </c>
      <c r="D5" s="94"/>
    </row>
    <row r="6" spans="1:15" s="15" customFormat="1" ht="20.100000000000001" customHeight="1" x14ac:dyDescent="0.3">
      <c r="A6" s="13" t="s">
        <v>7</v>
      </c>
      <c r="B6" s="21" t="s">
        <v>8</v>
      </c>
      <c r="C6" s="25" t="s">
        <v>20</v>
      </c>
      <c r="D6" s="16" t="s">
        <v>15</v>
      </c>
      <c r="E6" s="14" t="s">
        <v>9</v>
      </c>
      <c r="F6" s="14" t="s">
        <v>10</v>
      </c>
      <c r="G6" s="14" t="s">
        <v>11</v>
      </c>
    </row>
    <row r="7" spans="1:15" ht="31.5" x14ac:dyDescent="0.25">
      <c r="A7" s="61">
        <f>IF(ISBLANK(B7),"",_xlfn.ISOWEEKNUM('Journal de travail'!$B7))</f>
        <v>6</v>
      </c>
      <c r="B7" s="26">
        <v>46057</v>
      </c>
      <c r="C7" s="27">
        <v>2</v>
      </c>
      <c r="D7" s="28">
        <v>0</v>
      </c>
      <c r="E7" s="29" t="s">
        <v>2</v>
      </c>
      <c r="F7" s="23" t="s">
        <v>32</v>
      </c>
      <c r="G7" s="38"/>
    </row>
    <row r="8" spans="1:15" x14ac:dyDescent="0.25">
      <c r="A8" s="62">
        <f>IF(ISBLANK(B8),"",_xlfn.ISOWEEKNUM('Journal de travail'!$B8))</f>
        <v>6</v>
      </c>
      <c r="B8" s="30">
        <v>46057</v>
      </c>
      <c r="C8" s="31">
        <v>1</v>
      </c>
      <c r="D8" s="32">
        <v>0</v>
      </c>
      <c r="E8" s="33" t="s">
        <v>28</v>
      </c>
      <c r="F8" s="23"/>
      <c r="G8" s="39"/>
      <c r="M8" t="s">
        <v>2</v>
      </c>
      <c r="N8">
        <v>1</v>
      </c>
      <c r="O8">
        <v>0</v>
      </c>
    </row>
    <row r="9" spans="1:15" x14ac:dyDescent="0.25">
      <c r="A9" s="63">
        <f>IF(ISBLANK(B9),"",_xlfn.ISOWEEKNUM('Journal de travail'!$B9))</f>
        <v>6</v>
      </c>
      <c r="B9" s="34">
        <v>46057</v>
      </c>
      <c r="C9" s="35"/>
      <c r="D9" s="36">
        <v>45</v>
      </c>
      <c r="E9" s="37" t="s">
        <v>2</v>
      </c>
      <c r="F9" s="23" t="s">
        <v>33</v>
      </c>
      <c r="G9" s="40"/>
      <c r="M9" t="s">
        <v>19</v>
      </c>
      <c r="N9">
        <v>2</v>
      </c>
      <c r="O9">
        <v>5</v>
      </c>
    </row>
    <row r="10" spans="1:15" x14ac:dyDescent="0.25">
      <c r="A10" s="62">
        <f>IF(ISBLANK(B10),"",_xlfn.ISOWEEKNUM('Journal de travail'!$B10))</f>
        <v>6</v>
      </c>
      <c r="B10" s="30">
        <v>46057</v>
      </c>
      <c r="C10" s="31"/>
      <c r="D10" s="32">
        <v>45</v>
      </c>
      <c r="E10" s="33" t="s">
        <v>2</v>
      </c>
      <c r="F10" s="23" t="s">
        <v>34</v>
      </c>
      <c r="G10" s="39"/>
      <c r="M10" t="s">
        <v>3</v>
      </c>
      <c r="N10">
        <v>3</v>
      </c>
      <c r="O10">
        <v>10</v>
      </c>
    </row>
    <row r="11" spans="1:15" x14ac:dyDescent="0.25">
      <c r="A11" s="63">
        <f>IF(ISBLANK(B11),"",_xlfn.ISOWEEKNUM('Journal de travail'!$B11))</f>
        <v>6</v>
      </c>
      <c r="B11" s="34">
        <v>46057</v>
      </c>
      <c r="C11" s="35"/>
      <c r="D11" s="36">
        <v>45</v>
      </c>
      <c r="E11" s="37" t="s">
        <v>2</v>
      </c>
      <c r="F11" s="23" t="s">
        <v>35</v>
      </c>
      <c r="G11" s="40"/>
      <c r="M11" t="s">
        <v>4</v>
      </c>
      <c r="N11">
        <v>4</v>
      </c>
      <c r="O11">
        <v>15</v>
      </c>
    </row>
    <row r="12" spans="1:15" x14ac:dyDescent="0.25">
      <c r="A12" s="62">
        <f>IF(ISBLANK(B12),"",_xlfn.ISOWEEKNUM('Journal de travail'!$B12))</f>
        <v>6</v>
      </c>
      <c r="B12" s="30">
        <v>46057</v>
      </c>
      <c r="C12" s="31"/>
      <c r="D12" s="32">
        <v>45</v>
      </c>
      <c r="E12" s="33" t="s">
        <v>4</v>
      </c>
      <c r="F12" s="23" t="s">
        <v>36</v>
      </c>
      <c r="G12" s="39"/>
      <c r="M12" t="s">
        <v>28</v>
      </c>
      <c r="N12">
        <v>5</v>
      </c>
      <c r="O12">
        <v>20</v>
      </c>
    </row>
    <row r="13" spans="1:15" x14ac:dyDescent="0.25">
      <c r="A13" s="63">
        <f>IF(ISBLANK(B13),"",_xlfn.ISOWEEKNUM('Journal de travail'!$B13))</f>
        <v>6</v>
      </c>
      <c r="B13" s="34">
        <v>46058</v>
      </c>
      <c r="C13" s="35"/>
      <c r="D13" s="36">
        <v>45</v>
      </c>
      <c r="E13" s="37" t="s">
        <v>2</v>
      </c>
      <c r="F13" s="23" t="s">
        <v>37</v>
      </c>
      <c r="G13" s="40"/>
      <c r="N13">
        <v>6</v>
      </c>
      <c r="O13">
        <v>25</v>
      </c>
    </row>
    <row r="14" spans="1:15" x14ac:dyDescent="0.25">
      <c r="A14" s="62">
        <f>IF(ISBLANK(B14),"",_xlfn.ISOWEEKNUM('Journal de travail'!$B14))</f>
        <v>6</v>
      </c>
      <c r="B14" s="30">
        <v>46058</v>
      </c>
      <c r="C14" s="31">
        <v>1</v>
      </c>
      <c r="D14" s="32">
        <v>30</v>
      </c>
      <c r="E14" s="33" t="s">
        <v>2</v>
      </c>
      <c r="F14" s="23" t="s">
        <v>38</v>
      </c>
      <c r="G14" s="39"/>
      <c r="N14">
        <v>7</v>
      </c>
      <c r="O14">
        <v>30</v>
      </c>
    </row>
    <row r="15" spans="1:15" x14ac:dyDescent="0.25">
      <c r="A15" s="63">
        <f>IF(ISBLANK(B15),"",_xlfn.ISOWEEKNUM('Journal de travail'!$B15))</f>
        <v>6</v>
      </c>
      <c r="B15" s="34">
        <v>46058</v>
      </c>
      <c r="C15" s="35"/>
      <c r="D15" s="36">
        <v>45</v>
      </c>
      <c r="E15" s="37" t="s">
        <v>2</v>
      </c>
      <c r="F15" s="23" t="s">
        <v>39</v>
      </c>
      <c r="G15" s="40"/>
      <c r="N15">
        <v>8</v>
      </c>
      <c r="O15">
        <v>35</v>
      </c>
    </row>
    <row r="16" spans="1:15" x14ac:dyDescent="0.25">
      <c r="A16" s="62">
        <f>IF(ISBLANK(B16),"",_xlfn.ISOWEEKNUM('Journal de travail'!$B16))</f>
        <v>6</v>
      </c>
      <c r="B16" s="30">
        <v>46058</v>
      </c>
      <c r="C16" s="31">
        <v>2</v>
      </c>
      <c r="D16" s="32">
        <v>0</v>
      </c>
      <c r="E16" s="33" t="s">
        <v>2</v>
      </c>
      <c r="F16" s="23" t="s">
        <v>40</v>
      </c>
      <c r="G16" s="39"/>
      <c r="O16">
        <v>40</v>
      </c>
    </row>
    <row r="17" spans="1:15" x14ac:dyDescent="0.25">
      <c r="A17" s="63">
        <f>IF(ISBLANK(B17),"",_xlfn.ISOWEEKNUM('Journal de travail'!$B17))</f>
        <v>6</v>
      </c>
      <c r="B17" s="34">
        <v>46058</v>
      </c>
      <c r="C17" s="35"/>
      <c r="D17" s="36">
        <v>20</v>
      </c>
      <c r="E17" s="37" t="s">
        <v>28</v>
      </c>
      <c r="F17" s="23" t="s">
        <v>41</v>
      </c>
      <c r="G17" s="40"/>
      <c r="O17">
        <v>45</v>
      </c>
    </row>
    <row r="18" spans="1:15" x14ac:dyDescent="0.25">
      <c r="A18" s="62">
        <f>IF(ISBLANK(B18),"",_xlfn.ISOWEEKNUM('Journal de travail'!$B18))</f>
        <v>6</v>
      </c>
      <c r="B18" s="30">
        <v>46058</v>
      </c>
      <c r="C18" s="31"/>
      <c r="D18" s="32">
        <v>25</v>
      </c>
      <c r="E18" s="33" t="s">
        <v>2</v>
      </c>
      <c r="F18" s="23" t="s">
        <v>42</v>
      </c>
      <c r="G18" s="39"/>
      <c r="O18">
        <v>50</v>
      </c>
    </row>
    <row r="19" spans="1:15" x14ac:dyDescent="0.25">
      <c r="A19" s="63">
        <f>IF(ISBLANK(B19),"",_xlfn.ISOWEEKNUM('Journal de travail'!$B19))</f>
        <v>6</v>
      </c>
      <c r="B19" s="34">
        <v>46058</v>
      </c>
      <c r="C19" s="35"/>
      <c r="D19" s="36">
        <v>45</v>
      </c>
      <c r="E19" s="37" t="s">
        <v>2</v>
      </c>
      <c r="F19" s="23" t="s">
        <v>43</v>
      </c>
      <c r="G19" s="40"/>
      <c r="O19">
        <v>55</v>
      </c>
    </row>
    <row r="20" spans="1:15" x14ac:dyDescent="0.25">
      <c r="A20" s="62">
        <f>IF(ISBLANK(B20),"",_xlfn.ISOWEEKNUM('Journal de travail'!$B20))</f>
        <v>6</v>
      </c>
      <c r="B20" s="30">
        <v>46058</v>
      </c>
      <c r="C20" s="31">
        <v>1</v>
      </c>
      <c r="D20" s="32">
        <v>0</v>
      </c>
      <c r="E20" s="33" t="s">
        <v>2</v>
      </c>
      <c r="F20" s="23" t="s">
        <v>44</v>
      </c>
      <c r="G20" s="39"/>
    </row>
    <row r="21" spans="1:15" x14ac:dyDescent="0.25">
      <c r="A21" s="63">
        <f>IF(ISBLANK(B21),"",_xlfn.ISOWEEKNUM('Journal de travail'!$B21))</f>
        <v>6</v>
      </c>
      <c r="B21" s="34">
        <v>46059</v>
      </c>
      <c r="C21" s="35"/>
      <c r="D21" s="36">
        <v>45</v>
      </c>
      <c r="E21" s="37" t="s">
        <v>2</v>
      </c>
      <c r="F21" s="23" t="s">
        <v>45</v>
      </c>
      <c r="G21" s="40"/>
    </row>
    <row r="22" spans="1:15" x14ac:dyDescent="0.25">
      <c r="A22" s="62">
        <f>IF(ISBLANK(B22),"",_xlfn.ISOWEEKNUM('Journal de travail'!$B22))</f>
        <v>6</v>
      </c>
      <c r="B22" s="30">
        <v>46059</v>
      </c>
      <c r="C22" s="31"/>
      <c r="D22" s="32">
        <v>25</v>
      </c>
      <c r="E22" s="33" t="s">
        <v>28</v>
      </c>
      <c r="F22" s="23" t="s">
        <v>46</v>
      </c>
      <c r="G22" s="39"/>
    </row>
    <row r="23" spans="1:15" x14ac:dyDescent="0.25">
      <c r="A23" s="63">
        <f>IF(ISBLANK(B23),"",_xlfn.ISOWEEKNUM('Journal de travail'!$B23))</f>
        <v>6</v>
      </c>
      <c r="B23" s="34">
        <v>46059</v>
      </c>
      <c r="C23" s="35"/>
      <c r="D23" s="36">
        <v>10</v>
      </c>
      <c r="E23" s="37" t="s">
        <v>28</v>
      </c>
      <c r="F23" s="23" t="s">
        <v>47</v>
      </c>
      <c r="G23" s="40"/>
    </row>
    <row r="24" spans="1:15" x14ac:dyDescent="0.25">
      <c r="A24" s="62">
        <f>IF(ISBLANK(B24),"",_xlfn.ISOWEEKNUM('Journal de travail'!$B24))</f>
        <v>6</v>
      </c>
      <c r="B24" s="30">
        <v>46059</v>
      </c>
      <c r="C24" s="31"/>
      <c r="D24" s="32">
        <v>15</v>
      </c>
      <c r="E24" s="33" t="s">
        <v>28</v>
      </c>
      <c r="F24" s="23" t="s">
        <v>48</v>
      </c>
      <c r="G24" s="39"/>
    </row>
    <row r="25" spans="1:15" x14ac:dyDescent="0.25">
      <c r="A25" s="63">
        <f>IF(ISBLANK(B25),"",_xlfn.ISOWEEKNUM('Journal de travail'!$B25))</f>
        <v>6</v>
      </c>
      <c r="B25" s="34">
        <v>46059</v>
      </c>
      <c r="C25" s="35"/>
      <c r="D25" s="36">
        <v>45</v>
      </c>
      <c r="E25" s="37" t="s">
        <v>2</v>
      </c>
      <c r="F25" s="23" t="s">
        <v>49</v>
      </c>
      <c r="G25" s="40"/>
    </row>
    <row r="26" spans="1:15" x14ac:dyDescent="0.25">
      <c r="A26" s="62">
        <f>IF(ISBLANK(B26),"",_xlfn.ISOWEEKNUM('Journal de travail'!$B26))</f>
        <v>6</v>
      </c>
      <c r="B26" s="30">
        <v>46059</v>
      </c>
      <c r="C26" s="31">
        <v>4</v>
      </c>
      <c r="D26" s="32">
        <v>30</v>
      </c>
      <c r="E26" s="33" t="s">
        <v>19</v>
      </c>
      <c r="F26" s="23" t="s">
        <v>50</v>
      </c>
      <c r="G26" s="39"/>
    </row>
    <row r="27" spans="1:15" x14ac:dyDescent="0.25">
      <c r="A27" s="63">
        <f>IF(ISBLANK(B27),"",_xlfn.ISOWEEKNUM('Journal de travail'!$B27))</f>
        <v>7</v>
      </c>
      <c r="B27" s="34">
        <v>46062</v>
      </c>
      <c r="C27" s="35">
        <v>3</v>
      </c>
      <c r="D27" s="36">
        <v>0</v>
      </c>
      <c r="E27" s="37" t="s">
        <v>19</v>
      </c>
      <c r="F27" s="23" t="s">
        <v>50</v>
      </c>
      <c r="G27" s="40"/>
    </row>
    <row r="28" spans="1:15" x14ac:dyDescent="0.25">
      <c r="A28" s="62">
        <f>IF(ISBLANK(B28),"",_xlfn.ISOWEEKNUM('Journal de travail'!$B28))</f>
        <v>7</v>
      </c>
      <c r="B28" s="30">
        <v>46062</v>
      </c>
      <c r="C28" s="31">
        <v>1</v>
      </c>
      <c r="D28" s="32">
        <v>50</v>
      </c>
      <c r="E28" s="33" t="s">
        <v>19</v>
      </c>
      <c r="F28" s="22" t="s">
        <v>50</v>
      </c>
      <c r="G28" s="39"/>
    </row>
    <row r="29" spans="1:15" x14ac:dyDescent="0.25">
      <c r="A29" s="63">
        <f>IF(ISBLANK(B29),"",_xlfn.ISOWEEKNUM('Journal de travail'!$B29))</f>
        <v>7</v>
      </c>
      <c r="B29" s="34">
        <v>46062</v>
      </c>
      <c r="C29" s="35"/>
      <c r="D29" s="36">
        <v>25</v>
      </c>
      <c r="E29" s="37" t="s">
        <v>19</v>
      </c>
      <c r="F29" s="22" t="s">
        <v>51</v>
      </c>
      <c r="G29" s="40"/>
    </row>
    <row r="30" spans="1:15" x14ac:dyDescent="0.25">
      <c r="A30" s="62">
        <f>IF(ISBLANK(B30),"",_xlfn.ISOWEEKNUM('Journal de travail'!$B30))</f>
        <v>7</v>
      </c>
      <c r="B30" s="30">
        <v>46064</v>
      </c>
      <c r="C30" s="31"/>
      <c r="D30" s="32">
        <v>45</v>
      </c>
      <c r="E30" s="33" t="s">
        <v>19</v>
      </c>
      <c r="F30" s="23" t="s">
        <v>52</v>
      </c>
      <c r="G30" s="39"/>
    </row>
    <row r="31" spans="1:15" x14ac:dyDescent="0.25">
      <c r="A31" s="63">
        <f>IF(ISBLANK(B31),"",_xlfn.ISOWEEKNUM('Journal de travail'!$B31))</f>
        <v>7</v>
      </c>
      <c r="B31" s="34">
        <v>46064</v>
      </c>
      <c r="C31" s="35"/>
      <c r="D31" s="36">
        <v>15</v>
      </c>
      <c r="E31" s="37" t="s">
        <v>28</v>
      </c>
      <c r="F31" s="22" t="s">
        <v>46</v>
      </c>
      <c r="G31" s="40"/>
    </row>
    <row r="32" spans="1:15" x14ac:dyDescent="0.25">
      <c r="A32" s="62">
        <f>IF(ISBLANK(B32),"",_xlfn.ISOWEEKNUM('Journal de travail'!$B32))</f>
        <v>7</v>
      </c>
      <c r="B32" s="30">
        <v>46064</v>
      </c>
      <c r="C32" s="31">
        <v>2</v>
      </c>
      <c r="D32" s="32">
        <v>0</v>
      </c>
      <c r="E32" s="33" t="s">
        <v>2</v>
      </c>
      <c r="F32" s="23" t="s">
        <v>53</v>
      </c>
      <c r="G32" s="39"/>
    </row>
    <row r="33" spans="1:7" x14ac:dyDescent="0.25">
      <c r="A33" s="63">
        <f>IF(ISBLANK(B33),"",_xlfn.ISOWEEKNUM('Journal de travail'!$B33))</f>
        <v>7</v>
      </c>
      <c r="B33" s="34">
        <v>46064</v>
      </c>
      <c r="C33" s="35">
        <v>2</v>
      </c>
      <c r="D33" s="36">
        <v>15</v>
      </c>
      <c r="E33" s="37" t="s">
        <v>19</v>
      </c>
      <c r="F33" s="22" t="s">
        <v>54</v>
      </c>
      <c r="G33" s="40"/>
    </row>
    <row r="34" spans="1:7" x14ac:dyDescent="0.25">
      <c r="A34" s="62">
        <f>IF(ISBLANK(B34),"",_xlfn.ISOWEEKNUM('Journal de travail'!$B34))</f>
        <v>7</v>
      </c>
      <c r="B34" s="30">
        <v>46064</v>
      </c>
      <c r="C34" s="31"/>
      <c r="D34" s="32">
        <v>45</v>
      </c>
      <c r="E34" s="33" t="s">
        <v>19</v>
      </c>
      <c r="F34" s="22" t="s">
        <v>55</v>
      </c>
      <c r="G34" s="39"/>
    </row>
    <row r="35" spans="1:7" ht="31.5" x14ac:dyDescent="0.25">
      <c r="A35" s="63">
        <f>IF(ISBLANK(B35),"",_xlfn.ISOWEEKNUM('Journal de travail'!$B35))</f>
        <v>7</v>
      </c>
      <c r="B35" s="34">
        <v>46065</v>
      </c>
      <c r="C35" s="35">
        <v>3</v>
      </c>
      <c r="D35" s="36">
        <v>45</v>
      </c>
      <c r="E35" s="37" t="s">
        <v>19</v>
      </c>
      <c r="F35" s="23" t="s">
        <v>56</v>
      </c>
      <c r="G35" s="40"/>
    </row>
    <row r="36" spans="1:7" x14ac:dyDescent="0.25">
      <c r="A36" s="62">
        <f>IF(ISBLANK(B36),"",_xlfn.ISOWEEKNUM('Journal de travail'!$B36))</f>
        <v>7</v>
      </c>
      <c r="B36" s="30">
        <v>46065</v>
      </c>
      <c r="C36" s="31">
        <v>2</v>
      </c>
      <c r="D36" s="32">
        <v>30</v>
      </c>
      <c r="E36" s="33" t="s">
        <v>19</v>
      </c>
      <c r="F36" s="22" t="s">
        <v>57</v>
      </c>
      <c r="G36" s="39"/>
    </row>
    <row r="37" spans="1:7" x14ac:dyDescent="0.25">
      <c r="A37" s="63">
        <f>IF(ISBLANK(B37),"",_xlfn.ISOWEEKNUM('Journal de travail'!$B37))</f>
        <v>7</v>
      </c>
      <c r="B37" s="34">
        <v>46065</v>
      </c>
      <c r="C37" s="35"/>
      <c r="D37" s="36">
        <v>30</v>
      </c>
      <c r="E37" s="37" t="s">
        <v>2</v>
      </c>
      <c r="F37" s="22" t="s">
        <v>58</v>
      </c>
      <c r="G37" s="40"/>
    </row>
    <row r="38" spans="1:7" x14ac:dyDescent="0.25">
      <c r="A38" s="62">
        <f>IF(ISBLANK(B38),"",_xlfn.ISOWEEKNUM('Journal de travail'!$B38))</f>
        <v>7</v>
      </c>
      <c r="B38" s="30">
        <v>46066</v>
      </c>
      <c r="C38" s="31"/>
      <c r="D38" s="32">
        <v>45</v>
      </c>
      <c r="E38" s="33" t="s">
        <v>19</v>
      </c>
      <c r="F38" s="22" t="s">
        <v>59</v>
      </c>
      <c r="G38" s="39"/>
    </row>
    <row r="39" spans="1:7" x14ac:dyDescent="0.25">
      <c r="A39" s="63">
        <f>IF(ISBLANK(B39),"",_xlfn.ISOWEEKNUM('Journal de travail'!$B39))</f>
        <v>7</v>
      </c>
      <c r="B39" s="34">
        <v>46066</v>
      </c>
      <c r="C39" s="35">
        <v>1</v>
      </c>
      <c r="D39" s="36">
        <v>0</v>
      </c>
      <c r="E39" s="37" t="s">
        <v>2</v>
      </c>
      <c r="F39" s="22" t="s">
        <v>61</v>
      </c>
      <c r="G39" s="40"/>
    </row>
    <row r="40" spans="1:7" x14ac:dyDescent="0.25">
      <c r="A40" s="62">
        <f>IF(ISBLANK(B40),"",_xlfn.ISOWEEKNUM('Journal de travail'!$B40))</f>
        <v>7</v>
      </c>
      <c r="B40" s="30">
        <v>46066</v>
      </c>
      <c r="C40" s="31">
        <v>1</v>
      </c>
      <c r="D40" s="32">
        <v>15</v>
      </c>
      <c r="E40" s="33" t="s">
        <v>19</v>
      </c>
      <c r="F40" s="22" t="s">
        <v>60</v>
      </c>
      <c r="G40" s="39"/>
    </row>
    <row r="41" spans="1:7" x14ac:dyDescent="0.25">
      <c r="A41" s="63">
        <f>IF(ISBLANK(B41),"",_xlfn.ISOWEEKNUM('Journal de travail'!$B41))</f>
        <v>7</v>
      </c>
      <c r="B41" s="34">
        <v>46066</v>
      </c>
      <c r="C41" s="35">
        <v>3</v>
      </c>
      <c r="D41" s="36">
        <v>45</v>
      </c>
      <c r="E41" s="37" t="s">
        <v>19</v>
      </c>
      <c r="F41" s="22" t="s">
        <v>62</v>
      </c>
      <c r="G41" s="40"/>
    </row>
    <row r="42" spans="1:7" x14ac:dyDescent="0.25">
      <c r="A42" s="62">
        <f>IF(ISBLANK(B42),"",_xlfn.ISOWEEKNUM('Journal de travail'!$B42))</f>
        <v>9</v>
      </c>
      <c r="B42" s="30">
        <v>46076</v>
      </c>
      <c r="C42" s="31"/>
      <c r="D42" s="32">
        <v>20</v>
      </c>
      <c r="E42" s="33" t="s">
        <v>28</v>
      </c>
      <c r="F42" s="22" t="s">
        <v>63</v>
      </c>
      <c r="G42" s="39"/>
    </row>
    <row r="43" spans="1:7" x14ac:dyDescent="0.25">
      <c r="A43" s="63">
        <f>IF(ISBLANK(B43),"",_xlfn.ISOWEEKNUM('Journal de travail'!$B43))</f>
        <v>9</v>
      </c>
      <c r="B43" s="34">
        <v>46076</v>
      </c>
      <c r="C43" s="35">
        <v>4</v>
      </c>
      <c r="D43" s="36">
        <v>30</v>
      </c>
      <c r="E43" s="37" t="s">
        <v>19</v>
      </c>
      <c r="F43" s="22" t="s">
        <v>64</v>
      </c>
      <c r="G43" s="40"/>
    </row>
    <row r="44" spans="1:7" x14ac:dyDescent="0.25">
      <c r="A44" s="62">
        <f>IF(ISBLANK(B44),"",_xlfn.ISOWEEKNUM('Journal de travail'!$B44))</f>
        <v>9</v>
      </c>
      <c r="B44" s="30">
        <v>46076</v>
      </c>
      <c r="C44" s="31">
        <v>1</v>
      </c>
      <c r="D44" s="32">
        <v>0</v>
      </c>
      <c r="E44" s="33" t="s">
        <v>19</v>
      </c>
      <c r="F44" s="22" t="s">
        <v>65</v>
      </c>
      <c r="G44" s="39"/>
    </row>
    <row r="45" spans="1:7" x14ac:dyDescent="0.25">
      <c r="A45" s="63">
        <f>IF(ISBLANK(B47),"",_xlfn.ISOWEEKNUM('Journal de travail'!$B47))</f>
        <v>9</v>
      </c>
      <c r="B45" s="84">
        <v>46077</v>
      </c>
      <c r="C45" s="85">
        <v>5</v>
      </c>
      <c r="D45" s="86">
        <v>15</v>
      </c>
      <c r="E45" s="33" t="s">
        <v>28</v>
      </c>
      <c r="F45" s="88" t="s">
        <v>85</v>
      </c>
      <c r="G45" s="40"/>
    </row>
    <row r="46" spans="1:7" x14ac:dyDescent="0.25">
      <c r="A46" s="62">
        <f>IF(ISBLANK(B48),"",_xlfn.ISOWEEKNUM('Journal de travail'!$B48))</f>
        <v>9</v>
      </c>
      <c r="B46" s="84">
        <v>46078</v>
      </c>
      <c r="C46" s="85">
        <v>6</v>
      </c>
      <c r="D46" s="86">
        <v>45</v>
      </c>
      <c r="E46" s="37" t="s">
        <v>28</v>
      </c>
      <c r="F46" s="88" t="s">
        <v>85</v>
      </c>
      <c r="G46" s="39"/>
    </row>
    <row r="47" spans="1:7" ht="31.5" x14ac:dyDescent="0.25">
      <c r="A47" s="63">
        <f>IF(ISBLANK(B49),"",_xlfn.ISOWEEKNUM('Journal de travail'!$B49))</f>
        <v>9</v>
      </c>
      <c r="B47" s="89">
        <v>46079</v>
      </c>
      <c r="C47" s="90"/>
      <c r="D47" s="91">
        <v>35</v>
      </c>
      <c r="E47" s="92" t="s">
        <v>4</v>
      </c>
      <c r="F47" s="88" t="s">
        <v>66</v>
      </c>
      <c r="G47" s="40"/>
    </row>
    <row r="48" spans="1:7" x14ac:dyDescent="0.25">
      <c r="A48" s="62">
        <f>IF(ISBLANK(B50),"",_xlfn.ISOWEEKNUM('Journal de travail'!$B50))</f>
        <v>9</v>
      </c>
      <c r="B48" s="84">
        <v>46079</v>
      </c>
      <c r="C48" s="85">
        <v>4</v>
      </c>
      <c r="D48" s="86">
        <v>10</v>
      </c>
      <c r="E48" s="87" t="s">
        <v>19</v>
      </c>
      <c r="F48" s="88" t="s">
        <v>67</v>
      </c>
      <c r="G48" s="39"/>
    </row>
    <row r="49" spans="1:7" ht="47.25" x14ac:dyDescent="0.25">
      <c r="A49" s="63">
        <f>IF(ISBLANK(B51),"",_xlfn.ISOWEEKNUM('Journal de travail'!$B51))</f>
        <v>9</v>
      </c>
      <c r="B49" s="89">
        <v>46079</v>
      </c>
      <c r="C49" s="90">
        <v>1</v>
      </c>
      <c r="D49" s="91">
        <v>0</v>
      </c>
      <c r="E49" s="92" t="s">
        <v>19</v>
      </c>
      <c r="F49" s="88" t="s">
        <v>69</v>
      </c>
      <c r="G49" s="40"/>
    </row>
    <row r="50" spans="1:7" ht="63" x14ac:dyDescent="0.25">
      <c r="A50" s="62">
        <f>IF(ISBLANK(B52),"",_xlfn.ISOWEEKNUM('Journal de travail'!$B52))</f>
        <v>9</v>
      </c>
      <c r="B50" s="84">
        <v>46079</v>
      </c>
      <c r="C50" s="85">
        <v>1</v>
      </c>
      <c r="D50" s="86">
        <v>0</v>
      </c>
      <c r="E50" s="87" t="s">
        <v>2</v>
      </c>
      <c r="F50" s="88" t="s">
        <v>68</v>
      </c>
      <c r="G50" s="39"/>
    </row>
    <row r="51" spans="1:7" ht="31.5" x14ac:dyDescent="0.25">
      <c r="A51" s="63">
        <f>IF(ISBLANK(B53),"",_xlfn.ISOWEEKNUM('Journal de travail'!$B53))</f>
        <v>9</v>
      </c>
      <c r="B51" s="89">
        <v>46080</v>
      </c>
      <c r="C51" s="90">
        <v>3</v>
      </c>
      <c r="D51" s="91">
        <v>45</v>
      </c>
      <c r="E51" s="92" t="s">
        <v>19</v>
      </c>
      <c r="F51" s="88" t="s">
        <v>70</v>
      </c>
      <c r="G51" s="40"/>
    </row>
    <row r="52" spans="1:7" ht="47.25" x14ac:dyDescent="0.25">
      <c r="A52" s="62">
        <f>IF(ISBLANK(B54),"",_xlfn.ISOWEEKNUM('Journal de travail'!$B54))</f>
        <v>9</v>
      </c>
      <c r="B52" s="84">
        <v>46080</v>
      </c>
      <c r="C52" s="85">
        <v>1</v>
      </c>
      <c r="D52" s="86">
        <v>0</v>
      </c>
      <c r="E52" s="87" t="s">
        <v>2</v>
      </c>
      <c r="F52" s="88" t="s">
        <v>71</v>
      </c>
      <c r="G52" s="39"/>
    </row>
    <row r="53" spans="1:7" x14ac:dyDescent="0.25">
      <c r="A53" s="63" t="e">
        <f>IF(ISBLANK(#REF!),"",_xlfn.ISOWEEKNUM('Journal de travail'!#REF!))</f>
        <v>#REF!</v>
      </c>
      <c r="B53" s="34">
        <v>46080</v>
      </c>
      <c r="C53" s="35">
        <v>1</v>
      </c>
      <c r="D53" s="36">
        <v>40</v>
      </c>
      <c r="E53" s="37" t="s">
        <v>19</v>
      </c>
      <c r="F53" s="22" t="s">
        <v>72</v>
      </c>
      <c r="G53" s="40"/>
    </row>
    <row r="54" spans="1:7" x14ac:dyDescent="0.25">
      <c r="A54" s="62" t="e">
        <f>IF(ISBLANK(#REF!),"",_xlfn.ISOWEEKNUM('Journal de travail'!#REF!))</f>
        <v>#REF!</v>
      </c>
      <c r="B54" s="30">
        <v>46080</v>
      </c>
      <c r="C54" s="31"/>
      <c r="D54" s="32">
        <v>25</v>
      </c>
      <c r="E54" s="33" t="s">
        <v>28</v>
      </c>
      <c r="F54" s="22" t="s">
        <v>73</v>
      </c>
      <c r="G54" s="39"/>
    </row>
    <row r="55" spans="1:7" x14ac:dyDescent="0.25">
      <c r="A55" s="63">
        <f>IF(ISBLANK(B55),"",_xlfn.ISOWEEKNUM('Journal de travail'!$B55))</f>
        <v>10</v>
      </c>
      <c r="B55" s="34">
        <v>46083</v>
      </c>
      <c r="C55" s="35">
        <v>5</v>
      </c>
      <c r="D55" s="36">
        <v>15</v>
      </c>
      <c r="E55" s="37" t="s">
        <v>19</v>
      </c>
      <c r="F55" s="22" t="s">
        <v>74</v>
      </c>
      <c r="G55" s="40"/>
    </row>
    <row r="56" spans="1:7" ht="31.5" x14ac:dyDescent="0.25">
      <c r="A56" s="62">
        <f>IF(ISBLANK(B56),"",_xlfn.ISOWEEKNUM('Journal de travail'!$B56))</f>
        <v>10</v>
      </c>
      <c r="B56" s="30">
        <v>46084</v>
      </c>
      <c r="C56" s="31">
        <v>6</v>
      </c>
      <c r="D56" s="32">
        <v>45</v>
      </c>
      <c r="E56" s="33" t="s">
        <v>19</v>
      </c>
      <c r="F56" s="39" t="s">
        <v>75</v>
      </c>
      <c r="G56" s="39"/>
    </row>
    <row r="57" spans="1:7" x14ac:dyDescent="0.25">
      <c r="A57" s="63">
        <f>IF(ISBLANK(B57),"",_xlfn.ISOWEEKNUM('Journal de travail'!$B57))</f>
        <v>10</v>
      </c>
      <c r="B57" s="34">
        <v>46086</v>
      </c>
      <c r="C57" s="35">
        <v>3</v>
      </c>
      <c r="D57" s="36">
        <v>45</v>
      </c>
      <c r="E57" s="37" t="s">
        <v>4</v>
      </c>
      <c r="F57" s="40" t="s">
        <v>76</v>
      </c>
      <c r="G57" s="40"/>
    </row>
    <row r="58" spans="1:7" x14ac:dyDescent="0.25">
      <c r="A58" s="62">
        <f>IF(ISBLANK(B58),"",_xlfn.ISOWEEKNUM('Journal de travail'!$B58))</f>
        <v>10</v>
      </c>
      <c r="B58" s="30">
        <v>46086</v>
      </c>
      <c r="C58" s="31">
        <v>2</v>
      </c>
      <c r="D58" s="32">
        <v>45</v>
      </c>
      <c r="E58" s="33" t="s">
        <v>19</v>
      </c>
      <c r="F58" s="39"/>
      <c r="G58" s="39"/>
    </row>
    <row r="59" spans="1:7" x14ac:dyDescent="0.25">
      <c r="A59" s="63" t="e">
        <f>IF(ISBLANK(#REF!),"",_xlfn.ISOWEEKNUM('Journal de travail'!#REF!))</f>
        <v>#REF!</v>
      </c>
      <c r="B59" s="30">
        <v>46090</v>
      </c>
      <c r="C59" s="31">
        <v>6</v>
      </c>
      <c r="D59" s="32">
        <v>45</v>
      </c>
      <c r="E59" s="33" t="s">
        <v>19</v>
      </c>
      <c r="F59" s="39" t="s">
        <v>78</v>
      </c>
      <c r="G59" s="40"/>
    </row>
    <row r="60" spans="1:7" x14ac:dyDescent="0.25">
      <c r="A60" s="62" t="e">
        <f>IF(ISBLANK(#REF!),"",_xlfn.ISOWEEKNUM('Journal de travail'!#REF!))</f>
        <v>#REF!</v>
      </c>
      <c r="B60" s="34">
        <v>46092</v>
      </c>
      <c r="C60" s="35">
        <v>1</v>
      </c>
      <c r="D60" s="36">
        <v>45</v>
      </c>
      <c r="E60" s="37" t="s">
        <v>4</v>
      </c>
      <c r="F60" s="40" t="s">
        <v>77</v>
      </c>
      <c r="G60" s="39"/>
    </row>
    <row r="61" spans="1:7" ht="78.75" x14ac:dyDescent="0.25">
      <c r="A61" s="63" t="e">
        <f>IF(ISBLANK(#REF!),"",_xlfn.ISOWEEKNUM('Journal de travail'!#REF!))</f>
        <v>#REF!</v>
      </c>
      <c r="B61" s="30">
        <v>46092</v>
      </c>
      <c r="C61" s="31">
        <v>5</v>
      </c>
      <c r="D61" s="32">
        <v>0</v>
      </c>
      <c r="E61" s="33" t="s">
        <v>19</v>
      </c>
      <c r="F61" s="39" t="s">
        <v>79</v>
      </c>
      <c r="G61" s="40"/>
    </row>
    <row r="62" spans="1:7" ht="31.5" x14ac:dyDescent="0.25">
      <c r="A62" s="62">
        <f>IF(ISBLANK(B59),"",_xlfn.ISOWEEKNUM('Journal de travail'!$B59))</f>
        <v>11</v>
      </c>
      <c r="B62" s="34">
        <v>46093</v>
      </c>
      <c r="C62" s="35">
        <v>6</v>
      </c>
      <c r="D62" s="36">
        <v>45</v>
      </c>
      <c r="E62" s="37" t="s">
        <v>4</v>
      </c>
      <c r="F62" s="40" t="s">
        <v>80</v>
      </c>
      <c r="G62" s="39"/>
    </row>
    <row r="63" spans="1:7" x14ac:dyDescent="0.25">
      <c r="A63" s="63">
        <f>IF(ISBLANK(B63),"",_xlfn.ISOWEEKNUM('Journal de travail'!$B63))</f>
        <v>11</v>
      </c>
      <c r="B63" s="34">
        <v>46094</v>
      </c>
      <c r="C63" s="35">
        <v>2</v>
      </c>
      <c r="D63" s="36">
        <v>30</v>
      </c>
      <c r="E63" s="37" t="s">
        <v>4</v>
      </c>
      <c r="F63" s="40" t="s">
        <v>82</v>
      </c>
      <c r="G63" s="40"/>
    </row>
    <row r="64" spans="1:7" ht="31.5" x14ac:dyDescent="0.25">
      <c r="A64" s="62">
        <f>IF(ISBLANK(B64),"",_xlfn.ISOWEEKNUM('Journal de travail'!$B64))</f>
        <v>11</v>
      </c>
      <c r="B64" s="30">
        <v>46094</v>
      </c>
      <c r="C64" s="31">
        <v>1</v>
      </c>
      <c r="D64" s="32">
        <v>30</v>
      </c>
      <c r="E64" s="33" t="s">
        <v>3</v>
      </c>
      <c r="F64" s="39" t="s">
        <v>81</v>
      </c>
      <c r="G64" s="39"/>
    </row>
    <row r="65" spans="1:7" ht="31.5" x14ac:dyDescent="0.25">
      <c r="A65" s="63">
        <f>IF(ISBLANK(B60),"",_xlfn.ISOWEEKNUM('Journal de travail'!$B60))</f>
        <v>11</v>
      </c>
      <c r="B65" s="84">
        <v>46094</v>
      </c>
      <c r="C65" s="85">
        <v>2</v>
      </c>
      <c r="D65" s="86">
        <v>15</v>
      </c>
      <c r="E65" s="37" t="s">
        <v>4</v>
      </c>
      <c r="F65" s="88" t="s">
        <v>83</v>
      </c>
      <c r="G65" s="40"/>
    </row>
    <row r="66" spans="1:7" x14ac:dyDescent="0.25">
      <c r="A66" s="62">
        <f>IF(ISBLANK(B61),"",_xlfn.ISOWEEKNUM('Journal de travail'!$B61))</f>
        <v>11</v>
      </c>
      <c r="B66" s="84">
        <v>46094</v>
      </c>
      <c r="C66" s="85"/>
      <c r="D66" s="86">
        <v>10</v>
      </c>
      <c r="E66" s="33" t="s">
        <v>28</v>
      </c>
      <c r="F66" s="88" t="s">
        <v>84</v>
      </c>
      <c r="G66" s="39"/>
    </row>
    <row r="67" spans="1:7" x14ac:dyDescent="0.25">
      <c r="A67" s="63">
        <f>IF(ISBLANK(B62),"",_xlfn.ISOWEEKNUM('Journal de travail'!$B62))</f>
        <v>11</v>
      </c>
      <c r="B67" s="84"/>
      <c r="C67" s="85"/>
      <c r="D67" s="86"/>
      <c r="E67" s="33"/>
      <c r="F67" s="88"/>
      <c r="G67" s="40"/>
    </row>
    <row r="68" spans="1:7" x14ac:dyDescent="0.25">
      <c r="A68" s="62" t="str">
        <f>IF(ISBLANK(B68),"",_xlfn.ISOWEEKNUM('Journal de travail'!$B68))</f>
        <v/>
      </c>
      <c r="B68" s="30"/>
      <c r="C68" s="31"/>
      <c r="D68" s="32"/>
      <c r="E68" s="87"/>
      <c r="F68" s="39"/>
      <c r="G68" s="39"/>
    </row>
    <row r="69" spans="1:7" x14ac:dyDescent="0.25">
      <c r="A69" s="63" t="str">
        <f>IF(ISBLANK(B69),"",_xlfn.ISOWEEKNUM('Journal de travail'!$B69))</f>
        <v/>
      </c>
      <c r="B69" s="34"/>
      <c r="C69" s="35"/>
      <c r="D69" s="36"/>
      <c r="E69" s="87"/>
      <c r="F69" s="40"/>
      <c r="G69" s="40"/>
    </row>
    <row r="70" spans="1:7" x14ac:dyDescent="0.25">
      <c r="A70" s="62" t="str">
        <f>IF(ISBLANK(B70),"",_xlfn.ISOWEEKNUM('Journal de travail'!$B70))</f>
        <v/>
      </c>
      <c r="B70" s="30"/>
      <c r="C70" s="31"/>
      <c r="D70" s="32"/>
      <c r="E70" s="87"/>
      <c r="F70" s="39"/>
      <c r="G70" s="39"/>
    </row>
    <row r="71" spans="1:7" x14ac:dyDescent="0.25">
      <c r="A71" s="63" t="str">
        <f>IF(ISBLANK(B71),"",_xlfn.ISOWEEKNUM('Journal de travail'!$B71))</f>
        <v/>
      </c>
      <c r="B71" s="34"/>
      <c r="C71" s="35"/>
      <c r="D71" s="36"/>
      <c r="E71" s="87"/>
      <c r="F71" s="40"/>
      <c r="G71" s="40"/>
    </row>
    <row r="72" spans="1:7" x14ac:dyDescent="0.25">
      <c r="A72" s="62" t="str">
        <f>IF(ISBLANK(B72),"",_xlfn.ISOWEEKNUM('Journal de travail'!$B72))</f>
        <v/>
      </c>
      <c r="B72" s="30"/>
      <c r="C72" s="31"/>
      <c r="D72" s="32"/>
      <c r="E72" s="87"/>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3:E532 E7:E67">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44 C47:C64 C68:C532" xr:uid="{9D52E29F-610D-40B2-B3CC-F94A741DD978}">
      <formula1>$N$7:$N$15</formula1>
    </dataValidation>
    <dataValidation type="list" allowBlank="1" showInputMessage="1" showErrorMessage="1" sqref="D7:D44 D47:D64 D68:D532" xr:uid="{46510F84-8BCC-4BD6-9A19-9F03ACD74D05}">
      <formula1>$O$7:$O$19</formula1>
    </dataValidation>
    <dataValidation type="list" allowBlank="1" showInputMessage="1" showErrorMessage="1" sqref="E47:E67 E46 E7:E45 E73: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2" workbookViewId="0">
      <selection activeCell="T20" sqref="T20"/>
    </sheetView>
  </sheetViews>
  <sheetFormatPr baseColWidth="10"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24</v>
      </c>
      <c r="F2" s="68">
        <v>90</v>
      </c>
      <c r="G2" s="66" t="s">
        <v>23</v>
      </c>
      <c r="L2" s="18"/>
      <c r="M2" s="44"/>
      <c r="N2" s="18"/>
    </row>
    <row r="3" spans="1:14" x14ac:dyDescent="0.3">
      <c r="L3" s="19"/>
      <c r="M3" s="20"/>
      <c r="N3" s="19"/>
    </row>
    <row r="4" spans="1:14" ht="21" x14ac:dyDescent="0.35">
      <c r="E4" s="66" t="s">
        <v>25</v>
      </c>
      <c r="L4" s="66" t="s">
        <v>21</v>
      </c>
      <c r="M4" s="41"/>
      <c r="N4" s="19"/>
    </row>
    <row r="5" spans="1:14" x14ac:dyDescent="0.3">
      <c r="A5" t="s">
        <v>16</v>
      </c>
      <c r="B5" t="s">
        <v>17</v>
      </c>
      <c r="C5" s="41" t="s">
        <v>26</v>
      </c>
      <c r="D5" s="42"/>
      <c r="E5" s="45" t="s">
        <v>12</v>
      </c>
      <c r="F5" s="46" t="s">
        <v>13</v>
      </c>
      <c r="G5" s="47" t="s">
        <v>22</v>
      </c>
      <c r="L5" s="48" t="s">
        <v>12</v>
      </c>
      <c r="M5" s="49" t="s">
        <v>13</v>
      </c>
      <c r="N5" s="50" t="s">
        <v>22</v>
      </c>
    </row>
    <row r="6" spans="1:14" x14ac:dyDescent="0.3">
      <c r="A6">
        <f>SUMIF('Journal de travail'!$E$7:$E$532,Plannification!E6,'Journal de travail'!$C$7:$C$532)*60</f>
        <v>660</v>
      </c>
      <c r="B6">
        <f>SUMIF('Journal de travail'!$E$7:$E$532,Plannification!E6,'Journal de travail'!$D$7:$D$532)</f>
        <v>445</v>
      </c>
      <c r="C6">
        <f t="shared" ref="C6:C10" si="0">SUM(A6:B6)</f>
        <v>1105</v>
      </c>
      <c r="E6" s="70" t="str">
        <f>'Journal de travail'!M8</f>
        <v>Analyse</v>
      </c>
      <c r="F6" s="71" t="str">
        <f>QUOTIENT(SUM(A6:B6),60)&amp;" h "&amp;TEXT(MOD(SUM(A6:B6),60), "00")&amp;" min"</f>
        <v>18 h 25 min</v>
      </c>
      <c r="G6" s="72">
        <f>SUM(A6:B6)/$C$11</f>
        <v>0.15136986301369862</v>
      </c>
      <c r="L6" s="51" t="str">
        <f>'Journal de travail'!M8</f>
        <v>Analyse</v>
      </c>
      <c r="M6" s="52" t="str">
        <f>INT($F$2*N6)&amp;" h "&amp;TEXT(ROUND(MOD($F$2*N6,1)*60,0),"00")&amp;" m"</f>
        <v>18 h 00 m</v>
      </c>
      <c r="N6" s="58">
        <v>0.2</v>
      </c>
    </row>
    <row r="7" spans="1:14" x14ac:dyDescent="0.3">
      <c r="A7">
        <f>SUMIF('Journal de travail'!$E$7:$E$532,Plannification!E7,'Journal de travail'!$C$7:$C$532)*60</f>
        <v>3420</v>
      </c>
      <c r="B7">
        <f>SUMIF('Journal de travail'!$E$7:$E$532,Plannification!E7,'Journal de travail'!$D$7:$D$532)</f>
        <v>665</v>
      </c>
      <c r="C7">
        <f t="shared" si="0"/>
        <v>4085</v>
      </c>
      <c r="E7" s="73" t="str">
        <f>'Journal de travail'!M9</f>
        <v>Implémentation</v>
      </c>
      <c r="F7" s="74" t="str">
        <f t="shared" ref="F7:F11" si="1">QUOTIENT(SUM(A7:B7),60)&amp;" h "&amp;TEXT(MOD(SUM(A7:B7),60), "00")&amp;" min"</f>
        <v>68 h 05 min</v>
      </c>
      <c r="G7" s="75">
        <f t="shared" ref="G7:G9" si="2">SUM(A7:B7)/$C$11</f>
        <v>0.55958904109589036</v>
      </c>
      <c r="L7" s="53" t="str">
        <f>'Journal de travail'!M9</f>
        <v>Implémentation</v>
      </c>
      <c r="M7" s="52" t="str">
        <f t="shared" ref="M7:M10" si="3">INT($F$2*N7)&amp;" h "&amp;TEXT(ROUND(MOD($F$2*N7,1)*60,0),"00")&amp;" m"</f>
        <v>31 h 30 m</v>
      </c>
      <c r="N7" s="59">
        <v>0.35</v>
      </c>
    </row>
    <row r="8" spans="1:14" x14ac:dyDescent="0.3">
      <c r="A8">
        <f>SUMIF('Journal de travail'!$E$7:$E$532,Plannification!E8,'Journal de travail'!$C$7:$C$532)*60</f>
        <v>60</v>
      </c>
      <c r="B8">
        <f>SUMIF('Journal de travail'!$E$7:$E$532,Plannification!E8,'Journal de travail'!$D$7:$D$532)</f>
        <v>30</v>
      </c>
      <c r="C8">
        <f t="shared" si="0"/>
        <v>90</v>
      </c>
      <c r="E8" s="76" t="str">
        <f>'Journal de travail'!M10</f>
        <v>Test</v>
      </c>
      <c r="F8" s="71" t="str">
        <f t="shared" si="1"/>
        <v>1 h 30 min</v>
      </c>
      <c r="G8" s="72">
        <f t="shared" si="2"/>
        <v>1.2328767123287671E-2</v>
      </c>
      <c r="L8" s="54" t="str">
        <f>'Journal de travail'!M10</f>
        <v>Test</v>
      </c>
      <c r="M8" s="52" t="str">
        <f t="shared" si="3"/>
        <v>4 h 30 m</v>
      </c>
      <c r="N8" s="58">
        <v>0.05</v>
      </c>
    </row>
    <row r="9" spans="1:14" x14ac:dyDescent="0.3">
      <c r="A9">
        <f>SUMIF('Journal de travail'!$E$7:$E$532,Plannification!E9,'Journal de travail'!$C$7:$C$532)*60</f>
        <v>840</v>
      </c>
      <c r="B9">
        <f>SUMIF('Journal de travail'!$E$7:$E$532,Plannification!E9,'Journal de travail'!$D$7:$D$532)</f>
        <v>260</v>
      </c>
      <c r="C9">
        <f t="shared" si="0"/>
        <v>1100</v>
      </c>
      <c r="E9" s="77" t="str">
        <f>'Journal de travail'!M11</f>
        <v>Documentation</v>
      </c>
      <c r="F9" s="74" t="str">
        <f t="shared" si="1"/>
        <v>18 h 20 min</v>
      </c>
      <c r="G9" s="75">
        <f t="shared" si="2"/>
        <v>0.15068493150684931</v>
      </c>
      <c r="L9" s="55" t="str">
        <f>'Journal de travail'!M11</f>
        <v>Documentation</v>
      </c>
      <c r="M9" s="52" t="str">
        <f t="shared" si="3"/>
        <v>36 h 00 m</v>
      </c>
      <c r="N9" s="59">
        <v>0.4</v>
      </c>
    </row>
    <row r="10" spans="1:14" hidden="1" x14ac:dyDescent="0.3">
      <c r="A10">
        <f>SUMIF('Journal de travail'!$E$7:$E$532,Plannification!E10,'Journal de travail'!$C$7:$C$532)*60</f>
        <v>720</v>
      </c>
      <c r="B10">
        <f>SUMIF('Journal de travail'!$E$7:$E$532,Plannification!E10,'Journal de travail'!$D$7:$D$532)</f>
        <v>200</v>
      </c>
      <c r="C10">
        <f t="shared" si="0"/>
        <v>920</v>
      </c>
      <c r="E10" s="78" t="s">
        <v>28</v>
      </c>
      <c r="F10" s="79" t="str">
        <f t="shared" ref="F10" si="4">QUOTIENT(SUM(A10:B10),60)&amp;" h "&amp;TEXT(MOD(SUM(A10:B10),60), "00")&amp;" min"</f>
        <v>15 h 20 min</v>
      </c>
      <c r="G10" s="80">
        <f>SUM(A10:B10)/$C$11</f>
        <v>0.12602739726027398</v>
      </c>
      <c r="L10" s="69" t="s">
        <v>28</v>
      </c>
      <c r="M10" s="52" t="str">
        <f t="shared" si="3"/>
        <v>0 h 00 m</v>
      </c>
      <c r="N10" s="83">
        <v>0</v>
      </c>
    </row>
    <row r="11" spans="1:14" x14ac:dyDescent="0.3">
      <c r="A11">
        <f>SUM(A6:A10)</f>
        <v>5700</v>
      </c>
      <c r="B11">
        <f>SUM(B6:B10)</f>
        <v>1600</v>
      </c>
      <c r="C11">
        <f>SUM(A11:B11)</f>
        <v>7300</v>
      </c>
      <c r="E11" s="81" t="s">
        <v>18</v>
      </c>
      <c r="F11" s="71" t="str">
        <f t="shared" si="1"/>
        <v>121 h 40 min</v>
      </c>
      <c r="G11" s="82">
        <f>C11/C12</f>
        <v>1.3518518518518519</v>
      </c>
      <c r="L11" s="56" t="s">
        <v>18</v>
      </c>
      <c r="M11" s="57"/>
      <c r="N11" s="60">
        <f>SUM(N6:N10)</f>
        <v>1</v>
      </c>
    </row>
    <row r="12" spans="1:14" x14ac:dyDescent="0.3">
      <c r="C12">
        <f>F2*60</f>
        <v>5400</v>
      </c>
    </row>
    <row r="13" spans="1:14" x14ac:dyDescent="0.3">
      <c r="F13" s="43"/>
    </row>
  </sheetData>
  <sheetProtection algorithmName="SHA-512" hashValue="u6Q3+o7a9rb9ajPGMQFXFJBxNR95C93y6qzzKCld0gZtCTYGL+7OMe+WbK2ki7xwzk+WSRqA9/xPSrIc7CBoPg==" saltValue="e1RdssACZUGVypOFgaRLD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tabSelected="1" zoomScale="85" zoomScaleNormal="85" workbookViewId="0">
      <selection activeCell="R14" sqref="R14"/>
    </sheetView>
  </sheetViews>
  <sheetFormatPr baseColWidth="10"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0C9F2488912074FB587B9AD9ADAE5BB" ma:contentTypeVersion="12" ma:contentTypeDescription="Crée un document." ma:contentTypeScope="" ma:versionID="dfbaf9a740889adeb1cda0be194d08b7">
  <xsd:schema xmlns:xsd="http://www.w3.org/2001/XMLSchema" xmlns:xs="http://www.w3.org/2001/XMLSchema" xmlns:p="http://schemas.microsoft.com/office/2006/metadata/properties" xmlns:ns2="b5cf4370-ac38-4b9e-9836-ef6f5df64f24" xmlns:ns3="eefa3612-053e-497a-ae76-8a76877f5e22" targetNamespace="http://schemas.microsoft.com/office/2006/metadata/properties" ma:root="true" ma:fieldsID="4f25723b2930dbb90e2332f0c8c46e31" ns2:_="" ns3:_="">
    <xsd:import namespace="b5cf4370-ac38-4b9e-9836-ef6f5df64f24"/>
    <xsd:import namespace="eefa3612-053e-497a-ae76-8a76877f5e22"/>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cf4370-ac38-4b9e-9836-ef6f5df64f24"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efa3612-053e-497a-ae76-8a76877f5e22"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812abd92-3c6d-4240-9d75-967015e504c2}" ma:internalName="TaxCatchAll" ma:showField="CatchAllData" ma:web="eefa3612-053e-497a-ae76-8a76877f5e2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eefa3612-053e-497a-ae76-8a76877f5e22" xsi:nil="true"/>
    <lcf76f155ced4ddcb4097134ff3c332f xmlns="b5cf4370-ac38-4b9e-9836-ef6f5df64f2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A7F8341A-4C75-4689-8311-30F611A1EC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cf4370-ac38-4b9e-9836-ef6f5df64f24"/>
    <ds:schemaRef ds:uri="eefa3612-053e-497a-ae76-8a76877f5e2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 ds:uri="eefa3612-053e-497a-ae76-8a76877f5e22"/>
    <ds:schemaRef ds:uri="b5cf4370-ac38-4b9e-9836-ef6f5df64f2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Julien Pierre Mares</cp:lastModifiedBy>
  <cp:revision/>
  <dcterms:created xsi:type="dcterms:W3CDTF">2023-11-21T20:00:34Z</dcterms:created>
  <dcterms:modified xsi:type="dcterms:W3CDTF">2026-03-13T15:08:58Z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0x01010080C9F2488912074FB587B9AD9ADAE5BB</vt:lpwstr>
  </property>
  <property fmtid="{D5CDD505-2E9C-101B-9397-08002B2CF9AE}" pid="3" name="MediaServiceImageTags">
    <vt:lpwstr/>
  </property>
</Properties>
</file>