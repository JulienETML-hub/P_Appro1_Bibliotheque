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50vpm\Documents\GitHub\P_Bibliothèque\P_Appro1_Bibliotheque\"/>
    </mc:Choice>
  </mc:AlternateContent>
  <xr:revisionPtr revIDLastSave="0" documentId="13_ncr:1_{AA244B3D-6C3D-4F3E-9367-087BFD6AF679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<sst xmlns="http://schemas.openxmlformats.org/spreadsheetml/2006/main" count="107" uniqueCount="63">
  <si>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</si>
  <si>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</si>
  <si>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</si>
  <si>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</si>
  <si>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</si>
  <si>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</si>
  <si>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</si>
  <si>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</si>
  <si>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</si>
  <si>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</si>
  <si>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</si>
  <si>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</si>
  <si>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</si>
  <si>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</si>
  <si>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</si>
  <si>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</si>
  <si>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</si>
  <si>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</si>
  <si>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</si>
  <si>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</si>
  <si>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</si>
  <si>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</si>
  <si>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</si>
  <si>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</si>
  <si>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</si>
  <si>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</si>
  <si>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</si>
  <si>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</si>
  <si>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</si>
  <si>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P_Appro1 - P_Bibliothèque</t>
  </si>
  <si>
    <t>Mares Julien</t>
  </si>
  <si>
    <t>4 février 2026 au 13 mars 2026</t>
  </si>
  <si>
    <t>Création CDC (P_Fisherman)  + discussion avec M. Meylan (première discussion concernant le P_Appro)</t>
  </si>
  <si>
    <t>Début d'analyse sur comment / avec quoi faire le projet fisherman</t>
  </si>
  <si>
    <t>Discussion avec M. Meylan concernant le projet à faire</t>
  </si>
  <si>
    <t>Choix  de thème proposé par M. Meylan (P_Biblioèthque)</t>
  </si>
  <si>
    <t>Création CDC avec le contenu du CDC donnée par M. Meylan avec la forme du nouveau CDC</t>
  </si>
  <si>
    <t>Début de mise en place</t>
  </si>
  <si>
    <t>Analyse initiale</t>
  </si>
  <si>
    <t>Documentation sur Google Books API</t>
  </si>
  <si>
    <t xml:space="preserve">Planification &amp; analyse initiale </t>
  </si>
  <si>
    <t>Discussion avec des profs pour le TPI (pas pour ce projet)</t>
  </si>
  <si>
    <t>Discussion concernant les technos avec M. Meylan</t>
  </si>
  <si>
    <t>Création MLD (à finaliser)</t>
  </si>
  <si>
    <t>Tâche diverse (création github, remplir jnvtrl, création word rapport etc.)</t>
  </si>
  <si>
    <t>MLD MCD Fini</t>
  </si>
  <si>
    <t>Discussion avec un prof pr TPI</t>
  </si>
  <si>
    <t xml:space="preserve">Discussion M. Duding </t>
  </si>
  <si>
    <t>Conception d'une image pour le design de mon site avec chatGPT</t>
  </si>
  <si>
    <t>Diagramme de gant pour planification (et qqchangement dans la planif initiale)</t>
  </si>
  <si>
    <t>Création Maquette pour le site</t>
  </si>
  <si>
    <t>Création docker compose et script sql</t>
  </si>
  <si>
    <t>Création docker compose (mysql &amp; phpmyadmin) et db dedans</t>
  </si>
  <si>
    <t>Mise en place et début de réapprentissage de vue js</t>
  </si>
  <si>
    <t>J'ai eu des problèmes pour mettre en place mon projet vue en utilisant tailwind (car j'utilisais une version ancienne qui avait des changements dans l'utilisation)</t>
  </si>
  <si>
    <t>Début page de connexion (surtout pour me remettre dans le html/css pour l'instant et tailwind</t>
  </si>
  <si>
    <t>Page de connexion (html/css seulement) fini, commencement d'analyse des routes dont j'ai besoin, à continuer cette après-midi.</t>
  </si>
  <si>
    <t>Documentation sur backend (avec express), et google API books</t>
  </si>
  <si>
    <t>Analyse conceptuelle des routes Api à faire</t>
  </si>
  <si>
    <t>Fix ma db et docker qui avait des prbl</t>
  </si>
  <si>
    <t xml:space="preserve">Mise en place API Rest </t>
  </si>
  <si>
    <t>Analyse route API a faire et relecture du cdc</t>
  </si>
  <si>
    <t>Création des routes simple (get livre) et create livre pas encore fini (il faut s'occuper du create mais aussi d'aller chercher un livre via l'API de google books)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</si>
</sst>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985</c:v>
                </c:pt>
                <c:pt idx="1">
                  <c:v>1530</c:v>
                </c:pt>
                <c:pt idx="2">
                  <c:v>0</c:v>
                </c:pt>
                <c:pt idx="3">
                  <c:v>45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0.36414048059149723</c:v>
                </c:pt>
                <c:pt idx="1">
                  <c:v>0.56561922365988915</c:v>
                </c:pt>
                <c:pt idx="2">
                  <c:v>0</c:v>
                </c:pt>
                <c:pt idx="3">
                  <c:v>1.6635859519408502E-2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27" activePane="bottomLeft" state="frozen"/>
      <selection pane="bottomLeft" activeCell="F40" sqref="F4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6" t="s">
        <v>0</v>
      </c>
      <c r="B2" s="86"/>
      <c r="C2" s="84" t="s">
        <v>30</v>
      </c>
      <c r="D2" s="84"/>
      <c r="E2" s="84"/>
      <c r="F2" s="5" t="s">
        <v>1</v>
      </c>
      <c r="G2" s="64" t="s">
        <v>29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45 heures 5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1740</v>
      </c>
      <c r="D4" s="17">
        <f>SUBTOTAL(9,$D$7:$D$531)</f>
        <v>965</v>
      </c>
      <c r="E4" s="24">
        <f>SUM(C4:D4)</f>
        <v>2705</v>
      </c>
      <c r="F4" s="4"/>
      <c r="G4" s="6"/>
    </row>
    <row r="5" spans="1:15" x14ac:dyDescent="0.25">
      <c r="C5" s="85" t="s">
        <v>14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6</v>
      </c>
      <c r="B7" s="26">
        <v>46057</v>
      </c>
      <c r="C7" s="27">
        <v>2</v>
      </c>
      <c r="D7" s="28">
        <v>0</v>
      </c>
      <c r="E7" s="29" t="s">
        <v>2</v>
      </c>
      <c r="F7" s="23" t="s">
        <v>32</v>
      </c>
      <c r="G7" s="38"/>
    </row>
    <row r="8" spans="1:15" x14ac:dyDescent="0.25">
      <c r="A8" s="62">
        <f>IF(ISBLANK(B8),"",_xlfn.ISOWEEKNUM('Journal de travail'!$B8))</f>
        <v>6</v>
      </c>
      <c r="B8" s="30">
        <v>46057</v>
      </c>
      <c r="C8" s="31">
        <v>1</v>
      </c>
      <c r="D8" s="32">
        <v>0</v>
      </c>
      <c r="E8" s="33" t="s">
        <v>28</v>
      </c>
      <c r="F8" s="23"/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6</v>
      </c>
      <c r="B9" s="34">
        <v>46057</v>
      </c>
      <c r="C9" s="35"/>
      <c r="D9" s="36">
        <v>45</v>
      </c>
      <c r="E9" s="37" t="s">
        <v>2</v>
      </c>
      <c r="F9" s="23" t="s">
        <v>33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6</v>
      </c>
      <c r="B10" s="30">
        <v>46057</v>
      </c>
      <c r="C10" s="31"/>
      <c r="D10" s="32">
        <v>45</v>
      </c>
      <c r="E10" s="33" t="s">
        <v>2</v>
      </c>
      <c r="F10" s="23" t="s">
        <v>34</v>
      </c>
      <c r="G10" s="39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6</v>
      </c>
      <c r="B11" s="34">
        <v>46057</v>
      </c>
      <c r="C11" s="35"/>
      <c r="D11" s="36">
        <v>45</v>
      </c>
      <c r="E11" s="37" t="s">
        <v>2</v>
      </c>
      <c r="F11" s="23" t="s">
        <v>35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6</v>
      </c>
      <c r="B12" s="30">
        <v>46057</v>
      </c>
      <c r="C12" s="31"/>
      <c r="D12" s="32">
        <v>45</v>
      </c>
      <c r="E12" s="33" t="s">
        <v>4</v>
      </c>
      <c r="F12" s="23" t="s">
        <v>36</v>
      </c>
      <c r="G12" s="39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6</v>
      </c>
      <c r="B13" s="34">
        <v>46058</v>
      </c>
      <c r="C13" s="35"/>
      <c r="D13" s="36">
        <v>45</v>
      </c>
      <c r="E13" s="37" t="s">
        <v>2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6</v>
      </c>
      <c r="B14" s="30">
        <v>46058</v>
      </c>
      <c r="C14" s="31">
        <v>1</v>
      </c>
      <c r="D14" s="32">
        <v>30</v>
      </c>
      <c r="E14" s="33" t="s">
        <v>2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6</v>
      </c>
      <c r="B15" s="34">
        <v>46058</v>
      </c>
      <c r="C15" s="35"/>
      <c r="D15" s="36">
        <v>45</v>
      </c>
      <c r="E15" s="37" t="s">
        <v>2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6</v>
      </c>
      <c r="B16" s="30">
        <v>46058</v>
      </c>
      <c r="C16" s="31">
        <v>2</v>
      </c>
      <c r="D16" s="32">
        <v>0</v>
      </c>
      <c r="E16" s="33" t="s">
        <v>2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6</v>
      </c>
      <c r="B17" s="34">
        <v>46058</v>
      </c>
      <c r="C17" s="35"/>
      <c r="D17" s="36">
        <v>20</v>
      </c>
      <c r="E17" s="37" t="s">
        <v>28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6</v>
      </c>
      <c r="B18" s="30">
        <v>46058</v>
      </c>
      <c r="C18" s="31"/>
      <c r="D18" s="32">
        <v>25</v>
      </c>
      <c r="E18" s="33" t="s">
        <v>2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6</v>
      </c>
      <c r="B19" s="34">
        <v>46058</v>
      </c>
      <c r="C19" s="35"/>
      <c r="D19" s="36">
        <v>45</v>
      </c>
      <c r="E19" s="37" t="s">
        <v>2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6</v>
      </c>
      <c r="B20" s="30">
        <v>46058</v>
      </c>
      <c r="C20" s="31">
        <v>1</v>
      </c>
      <c r="D20" s="32">
        <v>0</v>
      </c>
      <c r="E20" s="33" t="s">
        <v>2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6</v>
      </c>
      <c r="B21" s="34">
        <v>46059</v>
      </c>
      <c r="C21" s="35"/>
      <c r="D21" s="36">
        <v>45</v>
      </c>
      <c r="E21" s="37" t="s">
        <v>2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6</v>
      </c>
      <c r="B22" s="30">
        <v>46059</v>
      </c>
      <c r="C22" s="31"/>
      <c r="D22" s="32">
        <v>25</v>
      </c>
      <c r="E22" s="33" t="s">
        <v>28</v>
      </c>
      <c r="F22" s="23" t="s">
        <v>46</v>
      </c>
      <c r="G22" s="39"/>
    </row>
    <row r="23" spans="1:15" x14ac:dyDescent="0.25">
      <c r="A23" s="63">
        <f>IF(ISBLANK(B23),"",_xlfn.ISOWEEKNUM('Journal de travail'!$B23))</f>
        <v>6</v>
      </c>
      <c r="B23" s="34">
        <v>46059</v>
      </c>
      <c r="C23" s="35"/>
      <c r="D23" s="36">
        <v>10</v>
      </c>
      <c r="E23" s="37" t="s">
        <v>28</v>
      </c>
      <c r="F23" s="23" t="s">
        <v>47</v>
      </c>
      <c r="G23" s="40"/>
    </row>
    <row r="24" spans="1:15" x14ac:dyDescent="0.25">
      <c r="A24" s="62">
        <f>IF(ISBLANK(B24),"",_xlfn.ISOWEEKNUM('Journal de travail'!$B24))</f>
        <v>6</v>
      </c>
      <c r="B24" s="30">
        <v>46059</v>
      </c>
      <c r="C24" s="31"/>
      <c r="D24" s="32">
        <v>15</v>
      </c>
      <c r="E24" s="33" t="s">
        <v>28</v>
      </c>
      <c r="F24" s="23" t="s">
        <v>48</v>
      </c>
      <c r="G24" s="39"/>
    </row>
    <row r="25" spans="1:15" x14ac:dyDescent="0.25">
      <c r="A25" s="63">
        <f>IF(ISBLANK(B25),"",_xlfn.ISOWEEKNUM('Journal de travail'!$B25))</f>
        <v>6</v>
      </c>
      <c r="B25" s="34">
        <v>46059</v>
      </c>
      <c r="C25" s="35"/>
      <c r="D25" s="36">
        <v>45</v>
      </c>
      <c r="E25" s="37" t="s">
        <v>2</v>
      </c>
      <c r="F25" s="23" t="s">
        <v>49</v>
      </c>
      <c r="G25" s="40"/>
    </row>
    <row r="26" spans="1:15" x14ac:dyDescent="0.25">
      <c r="A26" s="62">
        <f>IF(ISBLANK(B26),"",_xlfn.ISOWEEKNUM('Journal de travail'!$B26))</f>
        <v>6</v>
      </c>
      <c r="B26" s="30">
        <v>46059</v>
      </c>
      <c r="C26" s="31">
        <v>4</v>
      </c>
      <c r="D26" s="32">
        <v>30</v>
      </c>
      <c r="E26" s="33" t="s">
        <v>19</v>
      </c>
      <c r="F26" s="23" t="s">
        <v>50</v>
      </c>
      <c r="G26" s="39"/>
    </row>
    <row r="27" spans="1:15" x14ac:dyDescent="0.25">
      <c r="A27" s="63">
        <f>IF(ISBLANK(B27),"",_xlfn.ISOWEEKNUM('Journal de travail'!$B27))</f>
        <v>7</v>
      </c>
      <c r="B27" s="34">
        <v>46062</v>
      </c>
      <c r="C27" s="35">
        <v>3</v>
      </c>
      <c r="D27" s="36">
        <v>0</v>
      </c>
      <c r="E27" s="37" t="s">
        <v>19</v>
      </c>
      <c r="F27" s="23" t="s">
        <v>50</v>
      </c>
      <c r="G27" s="40"/>
    </row>
    <row r="28" spans="1:15" x14ac:dyDescent="0.25">
      <c r="A28" s="62">
        <f>IF(ISBLANK(B28),"",_xlfn.ISOWEEKNUM('Journal de travail'!$B28))</f>
        <v>7</v>
      </c>
      <c r="B28" s="30">
        <v>46062</v>
      </c>
      <c r="C28" s="31">
        <v>1</v>
      </c>
      <c r="D28" s="32">
        <v>50</v>
      </c>
      <c r="E28" s="33" t="s">
        <v>19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7</v>
      </c>
      <c r="B29" s="34">
        <v>46062</v>
      </c>
      <c r="C29" s="35"/>
      <c r="D29" s="36">
        <v>25</v>
      </c>
      <c r="E29" s="37" t="s">
        <v>19</v>
      </c>
      <c r="F29" s="22" t="s">
        <v>51</v>
      </c>
      <c r="G29" s="40"/>
    </row>
    <row r="30" spans="1:15" x14ac:dyDescent="0.25">
      <c r="A30" s="62">
        <f>IF(ISBLANK(B30),"",_xlfn.ISOWEEKNUM('Journal de travail'!$B30))</f>
        <v>7</v>
      </c>
      <c r="B30" s="30">
        <v>46064</v>
      </c>
      <c r="C30" s="31"/>
      <c r="D30" s="32">
        <v>45</v>
      </c>
      <c r="E30" s="33" t="s">
        <v>19</v>
      </c>
      <c r="F30" s="23" t="s">
        <v>52</v>
      </c>
      <c r="G30" s="39"/>
    </row>
    <row r="31" spans="1:15" x14ac:dyDescent="0.25">
      <c r="A31" s="63">
        <f>IF(ISBLANK(B31),"",_xlfn.ISOWEEKNUM('Journal de travail'!$B31))</f>
        <v>7</v>
      </c>
      <c r="B31" s="34">
        <v>46064</v>
      </c>
      <c r="C31" s="35"/>
      <c r="D31" s="36">
        <v>15</v>
      </c>
      <c r="E31" s="37" t="s">
        <v>28</v>
      </c>
      <c r="F31" s="22" t="s">
        <v>46</v>
      </c>
      <c r="G31" s="40"/>
    </row>
    <row r="32" spans="1:15" x14ac:dyDescent="0.25">
      <c r="A32" s="62">
        <f>IF(ISBLANK(B32),"",_xlfn.ISOWEEKNUM('Journal de travail'!$B32))</f>
        <v>7</v>
      </c>
      <c r="B32" s="30">
        <v>46064</v>
      </c>
      <c r="C32" s="31">
        <v>2</v>
      </c>
      <c r="D32" s="32">
        <v>0</v>
      </c>
      <c r="E32" s="33" t="s">
        <v>2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7</v>
      </c>
      <c r="B33" s="34">
        <v>46064</v>
      </c>
      <c r="C33" s="35">
        <v>2</v>
      </c>
      <c r="D33" s="36">
        <v>15</v>
      </c>
      <c r="E33" s="37" t="s">
        <v>19</v>
      </c>
      <c r="F33" s="22" t="s">
        <v>54</v>
      </c>
      <c r="G33" s="40"/>
    </row>
    <row r="34" spans="1:7" x14ac:dyDescent="0.25">
      <c r="A34" s="62">
        <f>IF(ISBLANK(B34),"",_xlfn.ISOWEEKNUM('Journal de travail'!$B34))</f>
        <v>7</v>
      </c>
      <c r="B34" s="30">
        <v>46064</v>
      </c>
      <c r="C34" s="31"/>
      <c r="D34" s="32">
        <v>45</v>
      </c>
      <c r="E34" s="33" t="s">
        <v>19</v>
      </c>
      <c r="F34" s="22" t="s">
        <v>55</v>
      </c>
      <c r="G34" s="39"/>
    </row>
    <row r="35" spans="1:7" ht="31.5" x14ac:dyDescent="0.25">
      <c r="A35" s="63">
        <f>IF(ISBLANK(B35),"",_xlfn.ISOWEEKNUM('Journal de travail'!$B35))</f>
        <v>7</v>
      </c>
      <c r="B35" s="34">
        <v>46065</v>
      </c>
      <c r="C35" s="35">
        <v>3</v>
      </c>
      <c r="D35" s="36">
        <v>45</v>
      </c>
      <c r="E35" s="37" t="s">
        <v>19</v>
      </c>
      <c r="F35" s="23" t="s">
        <v>56</v>
      </c>
      <c r="G35" s="40"/>
    </row>
    <row r="36" spans="1:7" x14ac:dyDescent="0.25">
      <c r="A36" s="62">
        <f>IF(ISBLANK(B36),"",_xlfn.ISOWEEKNUM('Journal de travail'!$B36))</f>
        <v>7</v>
      </c>
      <c r="B36" s="30">
        <v>46065</v>
      </c>
      <c r="C36" s="31">
        <v>2</v>
      </c>
      <c r="D36" s="32">
        <v>30</v>
      </c>
      <c r="E36" s="33" t="s">
        <v>19</v>
      </c>
      <c r="F36" s="22" t="s">
        <v>57</v>
      </c>
      <c r="G36" s="39"/>
    </row>
    <row r="37" spans="1:7" x14ac:dyDescent="0.25">
      <c r="A37" s="63">
        <f>IF(ISBLANK(B37),"",_xlfn.ISOWEEKNUM('Journal de travail'!$B37))</f>
        <v>7</v>
      </c>
      <c r="B37" s="34">
        <v>46065</v>
      </c>
      <c r="C37" s="35"/>
      <c r="D37" s="36">
        <v>30</v>
      </c>
      <c r="E37" s="37" t="s">
        <v>2</v>
      </c>
      <c r="F37" s="22" t="s">
        <v>58</v>
      </c>
      <c r="G37" s="40"/>
    </row>
    <row r="38" spans="1:7" x14ac:dyDescent="0.25">
      <c r="A38" s="62">
        <f>IF(ISBLANK(B38),"",_xlfn.ISOWEEKNUM('Journal de travail'!$B38))</f>
        <v>7</v>
      </c>
      <c r="B38" s="30">
        <v>46066</v>
      </c>
      <c r="C38" s="31"/>
      <c r="D38" s="32">
        <v>45</v>
      </c>
      <c r="E38" s="33" t="s">
        <v>19</v>
      </c>
      <c r="F38" s="22" t="s">
        <v>59</v>
      </c>
      <c r="G38" s="39"/>
    </row>
    <row r="39" spans="1:7" x14ac:dyDescent="0.25">
      <c r="A39" s="63">
        <f>IF(ISBLANK(B39),"",_xlfn.ISOWEEKNUM('Journal de travail'!$B39))</f>
        <v>7</v>
      </c>
      <c r="B39" s="34">
        <v>46066</v>
      </c>
      <c r="C39" s="35">
        <v>1</v>
      </c>
      <c r="D39" s="36">
        <v>0</v>
      </c>
      <c r="E39" s="37" t="s">
        <v>2</v>
      </c>
      <c r="F39" s="22" t="s">
        <v>61</v>
      </c>
      <c r="G39" s="40"/>
    </row>
    <row r="40" spans="1:7" x14ac:dyDescent="0.25">
      <c r="A40" s="62">
        <f>IF(ISBLANK(B40),"",_xlfn.ISOWEEKNUM('Journal de travail'!$B40))</f>
        <v>7</v>
      </c>
      <c r="B40" s="30">
        <v>46066</v>
      </c>
      <c r="C40" s="31">
        <v>1</v>
      </c>
      <c r="D40" s="32">
        <v>15</v>
      </c>
      <c r="E40" s="33" t="s">
        <v>19</v>
      </c>
      <c r="F40" s="22" t="s">
        <v>60</v>
      </c>
      <c r="G40" s="39"/>
    </row>
    <row r="41" spans="1:7" x14ac:dyDescent="0.25">
      <c r="A41" s="63">
        <f>IF(ISBLANK(B41),"",_xlfn.ISOWEEKNUM('Journal de travail'!$B41))</f>
        <v>7</v>
      </c>
      <c r="B41" s="34">
        <v>46066</v>
      </c>
      <c r="C41" s="35">
        <v>3</v>
      </c>
      <c r="D41" s="36">
        <v>45</v>
      </c>
      <c r="E41" s="37" t="s">
        <v>19</v>
      </c>
      <c r="F41" s="22" t="s">
        <v>62</v>
      </c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90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540</v>
      </c>
      <c r="B6">
        <f>SUMIF('Journal de travail'!$E$7:$E$532,Plannification!E6,'Journal de travail'!$D$7:$D$532)</f>
        <v>445</v>
      </c>
      <c r="C6">
        <f t="shared" ref="C6:C10" si="0">SUM(A6:B6)</f>
        <v>985</v>
      </c>
      <c r="E6" s="70" t="str">
        <f>'Journal de travail'!M8</f>
        <v>Analyse</v>
      </c>
      <c r="F6" s="71" t="str">
        <f>QUOTIENT(SUM(A6:B6),60)&amp;" h "&amp;TEXT(MOD(SUM(A6:B6),60), "00")&amp;" min"</f>
        <v>16 h 25 min</v>
      </c>
      <c r="G6" s="72">
        <f>SUM(A6:B6)/$C$11</f>
        <v>0.36414048059149723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1140</v>
      </c>
      <c r="B7">
        <f>SUMIF('Journal de travail'!$E$7:$E$532,Plannification!E7,'Journal de travail'!$D$7:$D$532)</f>
        <v>390</v>
      </c>
      <c r="C7">
        <f t="shared" si="0"/>
        <v>1530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25 h 30 min</v>
      </c>
      <c r="G7" s="75">
        <f t="shared" ref="G7:G9" si="2">SUM(A7:B7)/$C$11</f>
        <v>0.56561922365988915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45</v>
      </c>
      <c r="C9">
        <f t="shared" si="0"/>
        <v>45</v>
      </c>
      <c r="E9" s="77" t="str">
        <f>'Journal de travail'!M11</f>
        <v>Documentation</v>
      </c>
      <c r="F9" s="74" t="str">
        <f t="shared" si="1"/>
        <v>0 h 45 min</v>
      </c>
      <c r="G9" s="75">
        <f t="shared" si="2"/>
        <v>1.6635859519408502E-2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60</v>
      </c>
      <c r="B10">
        <f>SUMIF('Journal de travail'!$E$7:$E$532,Plannification!E10,'Journal de travail'!$D$7:$D$532)</f>
        <v>85</v>
      </c>
      <c r="C10">
        <f t="shared" si="0"/>
        <v>145</v>
      </c>
      <c r="E10" s="78" t="s">
        <v>28</v>
      </c>
      <c r="F10" s="79" t="str">
        <f t="shared" ref="F10" si="4">QUOTIENT(SUM(A10:B10),60)&amp;" h "&amp;TEXT(MOD(SUM(A10:B10),60), "00")&amp;" min"</f>
        <v>2 h 25 min</v>
      </c>
      <c r="G10" s="80">
        <f>SUM(A10:B10)/$C$11</f>
        <v>5.3604436229205174E-2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1740</v>
      </c>
      <c r="B11">
        <f>SUM(B6:B10)</f>
        <v>965</v>
      </c>
      <c r="C11">
        <f>SUM(A11:B11)</f>
        <v>2705</v>
      </c>
      <c r="E11" s="81" t="s">
        <v>18</v>
      </c>
      <c r="F11" s="71" t="str">
        <f t="shared" si="1"/>
        <v>45 h 05 min</v>
      </c>
      <c r="G11" s="82">
        <f>C11/C12</f>
        <v>0.50092592592592589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Julien Pierre Mares</cp:lastModifiedBy>
  <cp:revision/>
  <dcterms:created xsi:type="dcterms:W3CDTF">2023-11-21T20:00:34Z</dcterms:created>
  <dcterms:modified xsi:type="dcterms:W3CDTF">2026-02-13T15:21:32Z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