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x50vpm\Documents\GitHub\P_Bibliothèque\P_Appro1_Bibliotheque\"/>
    </mc:Choice>
  </mc:AlternateContent>
  <xr:revisionPtr revIDLastSave="0" documentId="13_ncr:1_{46AF003A-B3D5-4446-8747-DAA6CA1627F5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<sst xmlns="http://schemas.openxmlformats.org/spreadsheetml/2006/main" count="83" uniqueCount="52">
  <si>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</si>
  <si>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</si>
  <si>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</si>
  <si>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</si>
  <si>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</si>
  <si>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</si>
  <si>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</si>
  <si>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</si>
  <si>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</si>
  <si>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</si>
  <si>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</si>
  <si>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</si>
  <si>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</si>
  <si>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</si>
  <si>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</si>
  <si>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</si>
  <si>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</si>
  <si>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</si>
  <si>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</si>
  <si>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</si>
  <si>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</si>
  <si>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</si>
  <si>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</si>
  <si>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</si>
  <si>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</si>
  <si>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</si>
  <si>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</si>
  <si>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</si>
  <si>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</si>
  <si>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2 février 2026 au 13 mars 2026</t>
  </si>
  <si>
    <t>Création CDC (P_Fisherman)  + discussion avec M. Meylan (première discussion concernant le P_Appro)</t>
  </si>
  <si>
    <t>Début d'analyse sur comment / avec quoi faire le projet fisherman</t>
  </si>
  <si>
    <t>Discussion avec M. Meylan concernant le projet à faire</t>
  </si>
  <si>
    <t>Choix  de thème proposé par M. Meylan (P_Biblioèthque)</t>
  </si>
  <si>
    <t>Mares Julien</t>
  </si>
  <si>
    <t>P_Appro_1 - P_Bibliothèque</t>
  </si>
  <si>
    <t>Création CDC avec le contenu du CDC donnée par M. Meylan avec la forme du nouveau CDC</t>
  </si>
  <si>
    <t>Début de mise en place</t>
  </si>
  <si>
    <t xml:space="preserve">Planification &amp; analyse initiale </t>
  </si>
  <si>
    <t>Documentation sur Google Books API</t>
  </si>
  <si>
    <t>Analyse initiale</t>
  </si>
  <si>
    <t>Discussion avec des profs pour le TPI (pas pour ce projet)</t>
  </si>
  <si>
    <t>Discussion concernant les technos avec M. Meylan</t>
  </si>
  <si>
    <t>Tâche diverse (création github, remplir jnvtrl, création word rapport etc.)</t>
  </si>
  <si>
    <t>Création MLD (à finaliser)</t>
  </si>
  <si>
    <t>MLD MCD Fini</t>
  </si>
  <si>
    <t>Discussion avec un prof pr TPI</t>
  </si>
  <si>
    <t xml:space="preserve">Discussion M. Duding </t>
  </si>
  <si>
    <t>Conception d'une image pour le design de mon site avec chatGPT</t>
  </si>
  <si>
    <t>Diagramme de gant pour planification (et qqchangement dans la planif initiale)</t>
  </si>
  <si>
    <t>Création Maquette pour le site</t>
  </si>
  <si>
    <t>Création docker compose et script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</si>
</sst>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775</c:v>
                </c:pt>
                <c:pt idx="1">
                  <c:v>585</c:v>
                </c:pt>
                <c:pt idx="2">
                  <c:v>0</c:v>
                </c:pt>
                <c:pt idx="3">
                  <c:v>45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0.50488599348534202</c:v>
                </c:pt>
                <c:pt idx="1">
                  <c:v>0.38110749185667753</c:v>
                </c:pt>
                <c:pt idx="2">
                  <c:v>0</c:v>
                </c:pt>
                <c:pt idx="3">
                  <c:v>2.9315960912052116E-2</c:v>
                </c:pt>
                <c:pt idx="4">
                  <c:v>8.4690553745928335E-2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30" zoomScaleNormal="130" workbookViewId="0">
      <pane ySplit="6" topLeftCell="A20" activePane="bottomLeft" state="frozen"/>
      <selection pane="bottomLeft" activeCell="F31" sqref="F31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6" t="s">
        <v>0</v>
      </c>
      <c r="B2" s="86"/>
      <c r="C2" s="84" t="s">
        <v>34</v>
      </c>
      <c r="D2" s="84"/>
      <c r="E2" s="84"/>
      <c r="F2" s="5" t="s">
        <v>1</v>
      </c>
      <c r="G2" s="64" t="s">
        <v>35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25 heures 35 minutes</v>
      </c>
      <c r="D3" s="17"/>
      <c r="E3" s="3"/>
      <c r="F3" s="4" t="s">
        <v>6</v>
      </c>
      <c r="G3" s="65" t="s">
        <v>29</v>
      </c>
    </row>
    <row r="4" spans="1:15" ht="23.25" hidden="1" x14ac:dyDescent="0.35">
      <c r="B4" s="5"/>
      <c r="C4" s="17">
        <f>SUBTOTAL(9,$C$7:$C$531)*60</f>
        <v>900</v>
      </c>
      <c r="D4" s="17">
        <f>SUBTOTAL(9,$D$7:$D$531)</f>
        <v>635</v>
      </c>
      <c r="E4" s="24">
        <f>SUM(C4:D4)</f>
        <v>1535</v>
      </c>
      <c r="F4" s="4"/>
      <c r="G4" s="6"/>
    </row>
    <row r="5" spans="1:15" x14ac:dyDescent="0.25">
      <c r="C5" s="85" t="s">
        <v>14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ht="31.5" x14ac:dyDescent="0.25">
      <c r="A7" s="61">
        <f>IF(ISBLANK(B7),"",_xlfn.ISOWEEKNUM('Journal de travail'!$B7))</f>
        <v>6</v>
      </c>
      <c r="B7" s="26">
        <v>46057</v>
      </c>
      <c r="C7" s="27">
        <v>2</v>
      </c>
      <c r="D7" s="28">
        <v>0</v>
      </c>
      <c r="E7" s="29" t="s">
        <v>2</v>
      </c>
      <c r="F7" s="23" t="s">
        <v>30</v>
      </c>
      <c r="G7" s="38"/>
    </row>
    <row r="8" spans="1:15" x14ac:dyDescent="0.25">
      <c r="A8" s="62">
        <f>IF(ISBLANK(B8),"",_xlfn.ISOWEEKNUM('Journal de travail'!$B8))</f>
        <v>6</v>
      </c>
      <c r="B8" s="30">
        <v>46057</v>
      </c>
      <c r="C8" s="31">
        <v>1</v>
      </c>
      <c r="D8" s="32">
        <v>0</v>
      </c>
      <c r="E8" s="33" t="s">
        <v>28</v>
      </c>
      <c r="F8" s="23"/>
      <c r="G8" s="39"/>
      <c r="M8" t="s">
        <v>2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6</v>
      </c>
      <c r="B9" s="34">
        <v>46057</v>
      </c>
      <c r="C9" s="35"/>
      <c r="D9" s="36">
        <v>45</v>
      </c>
      <c r="E9" s="37" t="s">
        <v>2</v>
      </c>
      <c r="F9" s="23" t="s">
        <v>31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6</v>
      </c>
      <c r="B10" s="30">
        <v>46057</v>
      </c>
      <c r="C10" s="31"/>
      <c r="D10" s="32">
        <v>45</v>
      </c>
      <c r="E10" s="33" t="s">
        <v>2</v>
      </c>
      <c r="F10" s="23" t="s">
        <v>32</v>
      </c>
      <c r="G10" s="39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6</v>
      </c>
      <c r="B11" s="34">
        <v>46057</v>
      </c>
      <c r="C11" s="35"/>
      <c r="D11" s="36">
        <v>45</v>
      </c>
      <c r="E11" s="37" t="s">
        <v>2</v>
      </c>
      <c r="F11" s="23" t="s">
        <v>33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6</v>
      </c>
      <c r="B12" s="30">
        <v>46057</v>
      </c>
      <c r="C12" s="31"/>
      <c r="D12" s="32">
        <v>45</v>
      </c>
      <c r="E12" s="33" t="s">
        <v>4</v>
      </c>
      <c r="F12" s="23" t="s">
        <v>36</v>
      </c>
      <c r="G12" s="39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6</v>
      </c>
      <c r="B13" s="34">
        <v>46058</v>
      </c>
      <c r="C13" s="35"/>
      <c r="D13" s="36">
        <v>45</v>
      </c>
      <c r="E13" s="37" t="s">
        <v>2</v>
      </c>
      <c r="F13" s="23" t="s">
        <v>37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6</v>
      </c>
      <c r="B14" s="30">
        <v>46058</v>
      </c>
      <c r="C14" s="31">
        <v>1</v>
      </c>
      <c r="D14" s="32">
        <v>30</v>
      </c>
      <c r="E14" s="33" t="s">
        <v>2</v>
      </c>
      <c r="F14" s="23" t="s">
        <v>40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6</v>
      </c>
      <c r="B15" s="34">
        <v>46058</v>
      </c>
      <c r="C15" s="35"/>
      <c r="D15" s="36">
        <v>45</v>
      </c>
      <c r="E15" s="37" t="s">
        <v>2</v>
      </c>
      <c r="F15" s="23" t="s">
        <v>39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6</v>
      </c>
      <c r="B16" s="30">
        <v>46058</v>
      </c>
      <c r="C16" s="31">
        <v>2</v>
      </c>
      <c r="D16" s="32">
        <v>0</v>
      </c>
      <c r="E16" s="33" t="s">
        <v>2</v>
      </c>
      <c r="F16" s="23" t="s">
        <v>38</v>
      </c>
      <c r="G16" s="39"/>
      <c r="O16">
        <v>40</v>
      </c>
    </row>
    <row r="17" spans="1:15" x14ac:dyDescent="0.25">
      <c r="A17" s="63">
        <f>IF(ISBLANK(B17),"",_xlfn.ISOWEEKNUM('Journal de travail'!$B17))</f>
        <v>6</v>
      </c>
      <c r="B17" s="34">
        <v>46058</v>
      </c>
      <c r="C17" s="35"/>
      <c r="D17" s="36">
        <v>20</v>
      </c>
      <c r="E17" s="37" t="s">
        <v>28</v>
      </c>
      <c r="F17" s="23" t="s">
        <v>41</v>
      </c>
      <c r="G17" s="40"/>
      <c r="O17">
        <v>45</v>
      </c>
    </row>
    <row r="18" spans="1:15" x14ac:dyDescent="0.25">
      <c r="A18" s="62">
        <f>IF(ISBLANK(B18),"",_xlfn.ISOWEEKNUM('Journal de travail'!$B18))</f>
        <v>6</v>
      </c>
      <c r="B18" s="30">
        <v>46058</v>
      </c>
      <c r="C18" s="31"/>
      <c r="D18" s="32">
        <v>25</v>
      </c>
      <c r="E18" s="33" t="s">
        <v>2</v>
      </c>
      <c r="F18" s="23" t="s">
        <v>42</v>
      </c>
      <c r="G18" s="39"/>
      <c r="O18">
        <v>50</v>
      </c>
    </row>
    <row r="19" spans="1:15" x14ac:dyDescent="0.25">
      <c r="A19" s="63">
        <f>IF(ISBLANK(B19),"",_xlfn.ISOWEEKNUM('Journal de travail'!$B19))</f>
        <v>6</v>
      </c>
      <c r="B19" s="34">
        <v>46058</v>
      </c>
      <c r="C19" s="35"/>
      <c r="D19" s="36">
        <v>45</v>
      </c>
      <c r="E19" s="37" t="s">
        <v>2</v>
      </c>
      <c r="F19" s="23" t="s">
        <v>44</v>
      </c>
      <c r="G19" s="40"/>
      <c r="O19">
        <v>55</v>
      </c>
    </row>
    <row r="20" spans="1:15" x14ac:dyDescent="0.25">
      <c r="A20" s="62">
        <f>IF(ISBLANK(B20),"",_xlfn.ISOWEEKNUM('Journal de travail'!$B20))</f>
        <v>6</v>
      </c>
      <c r="B20" s="30">
        <v>46058</v>
      </c>
      <c r="C20" s="31">
        <v>1</v>
      </c>
      <c r="D20" s="32">
        <v>0</v>
      </c>
      <c r="E20" s="33" t="s">
        <v>2</v>
      </c>
      <c r="F20" s="23" t="s">
        <v>43</v>
      </c>
      <c r="G20" s="39"/>
    </row>
    <row r="21" spans="1:15" x14ac:dyDescent="0.25">
      <c r="A21" s="63">
        <f>IF(ISBLANK(B21),"",_xlfn.ISOWEEKNUM('Journal de travail'!$B21))</f>
        <v>6</v>
      </c>
      <c r="B21" s="34">
        <v>46059</v>
      </c>
      <c r="C21" s="35"/>
      <c r="D21" s="36">
        <v>45</v>
      </c>
      <c r="E21" s="37" t="s">
        <v>2</v>
      </c>
      <c r="F21" s="23" t="s">
        <v>45</v>
      </c>
      <c r="G21" s="40"/>
    </row>
    <row r="22" spans="1:15" x14ac:dyDescent="0.25">
      <c r="A22" s="62">
        <f>IF(ISBLANK(B22),"",_xlfn.ISOWEEKNUM('Journal de travail'!$B22))</f>
        <v>6</v>
      </c>
      <c r="B22" s="30">
        <v>46059</v>
      </c>
      <c r="C22" s="31"/>
      <c r="D22" s="32">
        <v>25</v>
      </c>
      <c r="E22" s="33" t="s">
        <v>28</v>
      </c>
      <c r="F22" s="23" t="s">
        <v>46</v>
      </c>
      <c r="G22" s="39"/>
    </row>
    <row r="23" spans="1:15" x14ac:dyDescent="0.25">
      <c r="A23" s="63">
        <f>IF(ISBLANK(B23),"",_xlfn.ISOWEEKNUM('Journal de travail'!$B23))</f>
        <v>6</v>
      </c>
      <c r="B23" s="34">
        <v>46059</v>
      </c>
      <c r="C23" s="35"/>
      <c r="D23" s="36">
        <v>10</v>
      </c>
      <c r="E23" s="37" t="s">
        <v>28</v>
      </c>
      <c r="F23" s="23" t="s">
        <v>47</v>
      </c>
      <c r="G23" s="40"/>
    </row>
    <row r="24" spans="1:15" x14ac:dyDescent="0.25">
      <c r="A24" s="62">
        <f>IF(ISBLANK(B24),"",_xlfn.ISOWEEKNUM('Journal de travail'!$B24))</f>
        <v>6</v>
      </c>
      <c r="B24" s="30">
        <v>46059</v>
      </c>
      <c r="C24" s="31"/>
      <c r="D24" s="32">
        <v>15</v>
      </c>
      <c r="E24" s="33" t="s">
        <v>28</v>
      </c>
      <c r="F24" s="23" t="s">
        <v>48</v>
      </c>
      <c r="G24" s="39"/>
    </row>
    <row r="25" spans="1:15" x14ac:dyDescent="0.25">
      <c r="A25" s="63">
        <f>IF(ISBLANK(B25),"",_xlfn.ISOWEEKNUM('Journal de travail'!$B25))</f>
        <v>6</v>
      </c>
      <c r="B25" s="34">
        <v>46059</v>
      </c>
      <c r="C25" s="35"/>
      <c r="D25" s="36">
        <v>45</v>
      </c>
      <c r="E25" s="37" t="s">
        <v>2</v>
      </c>
      <c r="F25" s="23" t="s">
        <v>49</v>
      </c>
      <c r="G25" s="40"/>
    </row>
    <row r="26" spans="1:15" x14ac:dyDescent="0.25">
      <c r="A26" s="62">
        <f>IF(ISBLANK(B26),"",_xlfn.ISOWEEKNUM('Journal de travail'!$B26))</f>
        <v>6</v>
      </c>
      <c r="B26" s="30">
        <v>46059</v>
      </c>
      <c r="C26" s="31">
        <v>4</v>
      </c>
      <c r="D26" s="32">
        <v>30</v>
      </c>
      <c r="E26" s="33" t="s">
        <v>19</v>
      </c>
      <c r="F26" s="23" t="s">
        <v>50</v>
      </c>
      <c r="G26" s="39"/>
    </row>
    <row r="27" spans="1:15" x14ac:dyDescent="0.25">
      <c r="A27" s="63">
        <f>IF(ISBLANK(B27),"",_xlfn.ISOWEEKNUM('Journal de travail'!$B27))</f>
        <v>7</v>
      </c>
      <c r="B27" s="34">
        <v>46062</v>
      </c>
      <c r="C27" s="35">
        <v>3</v>
      </c>
      <c r="D27" s="36">
        <v>0</v>
      </c>
      <c r="E27" s="37" t="s">
        <v>19</v>
      </c>
      <c r="F27" s="23" t="s">
        <v>50</v>
      </c>
      <c r="G27" s="40"/>
    </row>
    <row r="28" spans="1:15" x14ac:dyDescent="0.25">
      <c r="A28" s="62" t="str">
        <f>IF(ISBLANK(B28),"",_xlfn.ISOWEEKNUM('Journal de travail'!$B28))</f>
        <v/>
      </c>
      <c r="B28" s="30"/>
      <c r="C28" s="31">
        <v>1</v>
      </c>
      <c r="D28" s="32">
        <v>50</v>
      </c>
      <c r="E28" s="33" t="s">
        <v>19</v>
      </c>
      <c r="F28" s="22" t="s">
        <v>50</v>
      </c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>
        <v>25</v>
      </c>
      <c r="E29" s="37" t="s">
        <v>19</v>
      </c>
      <c r="F29" s="22" t="s">
        <v>51</v>
      </c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1" workbookViewId="0">
      <selection activeCell="N7" sqref="N7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90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360</v>
      </c>
      <c r="B6">
        <f>SUMIF('Journal de travail'!$E$7:$E$532,Plannification!E6,'Journal de travail'!$D$7:$D$532)</f>
        <v>415</v>
      </c>
      <c r="C6">
        <f t="shared" ref="C6:C10" si="0">SUM(A6:B6)</f>
        <v>775</v>
      </c>
      <c r="E6" s="70" t="str">
        <f>'Journal de travail'!M8</f>
        <v>Analyse</v>
      </c>
      <c r="F6" s="71" t="str">
        <f>QUOTIENT(SUM(A6:B6),60)&amp;" h "&amp;TEXT(MOD(SUM(A6:B6),60), "00")&amp;" min"</f>
        <v>12 h 55 min</v>
      </c>
      <c r="G6" s="72">
        <f>SUM(A6:B6)/$C$11</f>
        <v>0.50488599348534202</v>
      </c>
      <c r="L6" s="51" t="str">
        <f>'Journal de travail'!M8</f>
        <v>Analyse</v>
      </c>
      <c r="M6" s="52" t="str">
        <f>INT($F$2*N6)&amp;" h "&amp;TEXT(ROUND(MOD($F$2*N6,1)*60,0),"00")&amp;" m"</f>
        <v>13 h 30 m</v>
      </c>
      <c r="N6" s="58">
        <v>0.15</v>
      </c>
    </row>
    <row r="7" spans="1:14" x14ac:dyDescent="0.3">
      <c r="A7">
        <f>SUMIF('Journal de travail'!$E$7:$E$532,Plannification!E7,'Journal de travail'!$C$7:$C$532)*60</f>
        <v>480</v>
      </c>
      <c r="B7">
        <f>SUMIF('Journal de travail'!$E$7:$E$532,Plannification!E7,'Journal de travail'!$D$7:$D$532)</f>
        <v>105</v>
      </c>
      <c r="C7">
        <f t="shared" si="0"/>
        <v>585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9 h 45 min</v>
      </c>
      <c r="G7" s="75">
        <f t="shared" ref="G7:G9" si="2">SUM(A7:B7)/$C$11</f>
        <v>0.38110749185667753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36 h 00 m</v>
      </c>
      <c r="N7" s="59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9 h 00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45</v>
      </c>
      <c r="C9">
        <f t="shared" si="0"/>
        <v>45</v>
      </c>
      <c r="E9" s="77" t="str">
        <f>'Journal de travail'!M11</f>
        <v>Documentation</v>
      </c>
      <c r="F9" s="74" t="str">
        <f t="shared" si="1"/>
        <v>0 h 45 min</v>
      </c>
      <c r="G9" s="75">
        <f t="shared" si="2"/>
        <v>2.9315960912052116E-2</v>
      </c>
      <c r="L9" s="55" t="str">
        <f>'Journal de travail'!M11</f>
        <v>Documentation</v>
      </c>
      <c r="M9" s="52" t="str">
        <f t="shared" si="3"/>
        <v>22 h 30 m</v>
      </c>
      <c r="N9" s="59">
        <v>0.25</v>
      </c>
    </row>
    <row r="10" spans="1:14" x14ac:dyDescent="0.3">
      <c r="A10">
        <f>SUMIF('Journal de travail'!$E$7:$E$532,Plannification!E10,'Journal de travail'!$C$7:$C$532)*60</f>
        <v>60</v>
      </c>
      <c r="B10">
        <f>SUMIF('Journal de travail'!$E$7:$E$532,Plannification!E10,'Journal de travail'!$D$7:$D$532)</f>
        <v>70</v>
      </c>
      <c r="C10">
        <f t="shared" si="0"/>
        <v>130</v>
      </c>
      <c r="E10" s="78" t="s">
        <v>28</v>
      </c>
      <c r="F10" s="79" t="str">
        <f t="shared" ref="F10" si="4">QUOTIENT(SUM(A10:B10),60)&amp;" h "&amp;TEXT(MOD(SUM(A10:B10),60), "00")&amp;" min"</f>
        <v>2 h 10 min</v>
      </c>
      <c r="G10" s="80">
        <f>SUM(A10:B10)/$C$11</f>
        <v>8.4690553745928335E-2</v>
      </c>
      <c r="L10" s="69" t="s">
        <v>28</v>
      </c>
      <c r="M10" s="52" t="str">
        <f t="shared" si="3"/>
        <v>4 h 30 m</v>
      </c>
      <c r="N10" s="83">
        <v>0.05</v>
      </c>
    </row>
    <row r="11" spans="1:14" x14ac:dyDescent="0.3">
      <c r="A11">
        <f>SUM(A6:A10)</f>
        <v>900</v>
      </c>
      <c r="B11">
        <f>SUM(B6:B10)</f>
        <v>635</v>
      </c>
      <c r="C11">
        <f>SUM(A11:B11)</f>
        <v>1535</v>
      </c>
      <c r="E11" s="81" t="s">
        <v>18</v>
      </c>
      <c r="F11" s="71" t="str">
        <f t="shared" si="1"/>
        <v>25 h 35 min</v>
      </c>
      <c r="G11" s="82">
        <f>C11/C12</f>
        <v>0.28425925925925927</v>
      </c>
      <c r="L11" s="56" t="s">
        <v>18</v>
      </c>
      <c r="M11" s="57"/>
      <c r="N11" s="60">
        <f>SUM(N6:N10)</f>
        <v>0.95000000000000007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topLeftCell="A4" zoomScaleNormal="100" workbookViewId="0">
      <selection activeCell="R14" sqref="R14"/>
    </sheetView>
  </sheetViews>
  <sheetFormatPr baseColWidth="10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Julien Pierre Mares</cp:lastModifiedBy>
  <cp:revision/>
  <dcterms:created xsi:type="dcterms:W3CDTF">2023-11-21T20:00:34Z</dcterms:created>
  <dcterms:modified xsi:type="dcterms:W3CDTF">2026-02-09T13:35:50Z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